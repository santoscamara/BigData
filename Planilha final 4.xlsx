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Usuario\Desktop\BI\"/>
    </mc:Choice>
  </mc:AlternateContent>
  <xr:revisionPtr revIDLastSave="0" documentId="8_{78945E60-541F-4A04-8B75-78F0B9FC8BA9}" xr6:coauthVersionLast="47" xr6:coauthVersionMax="47" xr10:uidLastSave="{00000000-0000-0000-0000-000000000000}"/>
  <bookViews>
    <workbookView xWindow="-120" yWindow="-120" windowWidth="29040" windowHeight="16440" xr2:uid="{2C7FF951-7DD2-4052-8706-A73485F1F3F8}"/>
  </bookViews>
  <sheets>
    <sheet name="TabelaVendas" sheetId="4" r:id="rId1"/>
  </sheets>
  <definedNames>
    <definedName name="DadosExternos_3" localSheetId="0" hidden="1">TabelaVendas!$A$1:$M$572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K7" i="4" s="1"/>
  <c r="M8" i="4"/>
  <c r="K8" i="4" s="1"/>
  <c r="M9" i="4"/>
  <c r="K9" i="4" s="1"/>
  <c r="M10" i="4"/>
  <c r="K10" i="4" s="1"/>
  <c r="M11" i="4"/>
  <c r="K11" i="4" s="1"/>
  <c r="M12" i="4"/>
  <c r="M13" i="4"/>
  <c r="K13" i="4" s="1"/>
  <c r="M14" i="4"/>
  <c r="K14" i="4" s="1"/>
  <c r="M15" i="4"/>
  <c r="M16" i="4"/>
  <c r="M17" i="4"/>
  <c r="M18" i="4"/>
  <c r="M19" i="4"/>
  <c r="K19" i="4" s="1"/>
  <c r="M20" i="4"/>
  <c r="K20" i="4" s="1"/>
  <c r="M21" i="4"/>
  <c r="K21" i="4" s="1"/>
  <c r="M22" i="4"/>
  <c r="K22" i="4" s="1"/>
  <c r="M23" i="4"/>
  <c r="K23" i="4" s="1"/>
  <c r="M24" i="4"/>
  <c r="M25" i="4"/>
  <c r="K25" i="4" s="1"/>
  <c r="M26" i="4"/>
  <c r="K26" i="4" s="1"/>
  <c r="M27" i="4"/>
  <c r="M28" i="4"/>
  <c r="M29" i="4"/>
  <c r="M30" i="4"/>
  <c r="M31" i="4"/>
  <c r="K31" i="4" s="1"/>
  <c r="M32" i="4"/>
  <c r="K32" i="4" s="1"/>
  <c r="M33" i="4"/>
  <c r="K33" i="4" s="1"/>
  <c r="M34" i="4"/>
  <c r="K34" i="4" s="1"/>
  <c r="M35" i="4"/>
  <c r="K35" i="4" s="1"/>
  <c r="M36" i="4"/>
  <c r="M37" i="4"/>
  <c r="K37" i="4" s="1"/>
  <c r="M38" i="4"/>
  <c r="K38" i="4" s="1"/>
  <c r="M39" i="4"/>
  <c r="M40" i="4"/>
  <c r="M41" i="4"/>
  <c r="M42" i="4"/>
  <c r="M43" i="4"/>
  <c r="K43" i="4" s="1"/>
  <c r="M44" i="4"/>
  <c r="K44" i="4" s="1"/>
  <c r="M45" i="4"/>
  <c r="K45" i="4" s="1"/>
  <c r="M46" i="4"/>
  <c r="K46" i="4" s="1"/>
  <c r="M47" i="4"/>
  <c r="K47" i="4" s="1"/>
  <c r="M48" i="4"/>
  <c r="M49" i="4"/>
  <c r="K49" i="4" s="1"/>
  <c r="M50" i="4"/>
  <c r="K50" i="4" s="1"/>
  <c r="M51" i="4"/>
  <c r="M52" i="4"/>
  <c r="M53" i="4"/>
  <c r="M54" i="4"/>
  <c r="M55" i="4"/>
  <c r="K55" i="4" s="1"/>
  <c r="M56" i="4"/>
  <c r="K56" i="4" s="1"/>
  <c r="M57" i="4"/>
  <c r="K57" i="4" s="1"/>
  <c r="M58" i="4"/>
  <c r="K58" i="4" s="1"/>
  <c r="M59" i="4"/>
  <c r="K59" i="4" s="1"/>
  <c r="M60" i="4"/>
  <c r="M61" i="4"/>
  <c r="K61" i="4" s="1"/>
  <c r="M62" i="4"/>
  <c r="K62" i="4" s="1"/>
  <c r="M63" i="4"/>
  <c r="M64" i="4"/>
  <c r="M65" i="4"/>
  <c r="M66" i="4"/>
  <c r="M67" i="4"/>
  <c r="K67" i="4" s="1"/>
  <c r="M68" i="4"/>
  <c r="K68" i="4" s="1"/>
  <c r="M69" i="4"/>
  <c r="K69" i="4" s="1"/>
  <c r="M70" i="4"/>
  <c r="K70" i="4" s="1"/>
  <c r="M71" i="4"/>
  <c r="K71" i="4" s="1"/>
  <c r="M72" i="4"/>
  <c r="M73" i="4"/>
  <c r="K73" i="4" s="1"/>
  <c r="M74" i="4"/>
  <c r="K74" i="4" s="1"/>
  <c r="M75" i="4"/>
  <c r="M76" i="4"/>
  <c r="M77" i="4"/>
  <c r="M78" i="4"/>
  <c r="M79" i="4"/>
  <c r="K79" i="4" s="1"/>
  <c r="M80" i="4"/>
  <c r="K80" i="4" s="1"/>
  <c r="M81" i="4"/>
  <c r="K81" i="4" s="1"/>
  <c r="M82" i="4"/>
  <c r="K82" i="4" s="1"/>
  <c r="M83" i="4"/>
  <c r="K83" i="4" s="1"/>
  <c r="M84" i="4"/>
  <c r="M85" i="4"/>
  <c r="K85" i="4" s="1"/>
  <c r="M86" i="4"/>
  <c r="K86" i="4" s="1"/>
  <c r="M87" i="4"/>
  <c r="M88" i="4"/>
  <c r="M89" i="4"/>
  <c r="M90" i="4"/>
  <c r="M91" i="4"/>
  <c r="K91" i="4" s="1"/>
  <c r="M92" i="4"/>
  <c r="K92" i="4" s="1"/>
  <c r="M93" i="4"/>
  <c r="K93" i="4" s="1"/>
  <c r="M94" i="4"/>
  <c r="K94" i="4" s="1"/>
  <c r="M95" i="4"/>
  <c r="K95" i="4" s="1"/>
  <c r="M96" i="4"/>
  <c r="M97" i="4"/>
  <c r="K97" i="4" s="1"/>
  <c r="M98" i="4"/>
  <c r="K98" i="4" s="1"/>
  <c r="M99" i="4"/>
  <c r="M100" i="4"/>
  <c r="M101" i="4"/>
  <c r="M102" i="4"/>
  <c r="M103" i="4"/>
  <c r="K103" i="4" s="1"/>
  <c r="M104" i="4"/>
  <c r="K104" i="4" s="1"/>
  <c r="M105" i="4"/>
  <c r="K105" i="4" s="1"/>
  <c r="M106" i="4"/>
  <c r="K106" i="4" s="1"/>
  <c r="M107" i="4"/>
  <c r="K107" i="4" s="1"/>
  <c r="M108" i="4"/>
  <c r="M109" i="4"/>
  <c r="K109" i="4" s="1"/>
  <c r="M110" i="4"/>
  <c r="K110" i="4" s="1"/>
  <c r="M111" i="4"/>
  <c r="M112" i="4"/>
  <c r="M113" i="4"/>
  <c r="M114" i="4"/>
  <c r="M115" i="4"/>
  <c r="K115" i="4" s="1"/>
  <c r="M116" i="4"/>
  <c r="K116" i="4" s="1"/>
  <c r="M117" i="4"/>
  <c r="K117" i="4" s="1"/>
  <c r="M118" i="4"/>
  <c r="K118" i="4" s="1"/>
  <c r="M119" i="4"/>
  <c r="K119" i="4" s="1"/>
  <c r="M120" i="4"/>
  <c r="M121" i="4"/>
  <c r="K121" i="4" s="1"/>
  <c r="M122" i="4"/>
  <c r="K122" i="4" s="1"/>
  <c r="M123" i="4"/>
  <c r="M124" i="4"/>
  <c r="M125" i="4"/>
  <c r="M126" i="4"/>
  <c r="M127" i="4"/>
  <c r="K127" i="4" s="1"/>
  <c r="M128" i="4"/>
  <c r="K128" i="4" s="1"/>
  <c r="M129" i="4"/>
  <c r="K129" i="4" s="1"/>
  <c r="M130" i="4"/>
  <c r="K130" i="4" s="1"/>
  <c r="M131" i="4"/>
  <c r="K131" i="4" s="1"/>
  <c r="M132" i="4"/>
  <c r="M133" i="4"/>
  <c r="K133" i="4" s="1"/>
  <c r="M134" i="4"/>
  <c r="K134" i="4" s="1"/>
  <c r="M135" i="4"/>
  <c r="M136" i="4"/>
  <c r="M137" i="4"/>
  <c r="M138" i="4"/>
  <c r="M139" i="4"/>
  <c r="K139" i="4" s="1"/>
  <c r="M140" i="4"/>
  <c r="K140" i="4" s="1"/>
  <c r="M141" i="4"/>
  <c r="K141" i="4" s="1"/>
  <c r="M142" i="4"/>
  <c r="K142" i="4" s="1"/>
  <c r="M143" i="4"/>
  <c r="K143" i="4" s="1"/>
  <c r="M144" i="4"/>
  <c r="M145" i="4"/>
  <c r="K145" i="4" s="1"/>
  <c r="M146" i="4"/>
  <c r="K146" i="4" s="1"/>
  <c r="M147" i="4"/>
  <c r="M148" i="4"/>
  <c r="M149" i="4"/>
  <c r="M150" i="4"/>
  <c r="M151" i="4"/>
  <c r="K151" i="4" s="1"/>
  <c r="M152" i="4"/>
  <c r="K152" i="4" s="1"/>
  <c r="M153" i="4"/>
  <c r="K153" i="4" s="1"/>
  <c r="M154" i="4"/>
  <c r="K154" i="4" s="1"/>
  <c r="M155" i="4"/>
  <c r="K155" i="4" s="1"/>
  <c r="M156" i="4"/>
  <c r="M157" i="4"/>
  <c r="K157" i="4" s="1"/>
  <c r="M158" i="4"/>
  <c r="K158" i="4" s="1"/>
  <c r="M159" i="4"/>
  <c r="M160" i="4"/>
  <c r="M161" i="4"/>
  <c r="M162" i="4"/>
  <c r="M163" i="4"/>
  <c r="K163" i="4" s="1"/>
  <c r="M164" i="4"/>
  <c r="K164" i="4" s="1"/>
  <c r="M165" i="4"/>
  <c r="K165" i="4" s="1"/>
  <c r="M166" i="4"/>
  <c r="K166" i="4" s="1"/>
  <c r="M167" i="4"/>
  <c r="K167" i="4" s="1"/>
  <c r="M168" i="4"/>
  <c r="M169" i="4"/>
  <c r="K169" i="4" s="1"/>
  <c r="M170" i="4"/>
  <c r="K170" i="4" s="1"/>
  <c r="M171" i="4"/>
  <c r="M172" i="4"/>
  <c r="M173" i="4"/>
  <c r="M174" i="4"/>
  <c r="M175" i="4"/>
  <c r="K175" i="4" s="1"/>
  <c r="M176" i="4"/>
  <c r="K176" i="4" s="1"/>
  <c r="M177" i="4"/>
  <c r="K177" i="4" s="1"/>
  <c r="M178" i="4"/>
  <c r="K178" i="4" s="1"/>
  <c r="M179" i="4"/>
  <c r="K179" i="4" s="1"/>
  <c r="M180" i="4"/>
  <c r="M181" i="4"/>
  <c r="K181" i="4" s="1"/>
  <c r="M182" i="4"/>
  <c r="K182" i="4" s="1"/>
  <c r="M183" i="4"/>
  <c r="M184" i="4"/>
  <c r="M185" i="4"/>
  <c r="M186" i="4"/>
  <c r="M187" i="4"/>
  <c r="K187" i="4" s="1"/>
  <c r="M188" i="4"/>
  <c r="K188" i="4" s="1"/>
  <c r="M189" i="4"/>
  <c r="K189" i="4" s="1"/>
  <c r="M190" i="4"/>
  <c r="K190" i="4" s="1"/>
  <c r="M191" i="4"/>
  <c r="K191" i="4" s="1"/>
  <c r="M192" i="4"/>
  <c r="M193" i="4"/>
  <c r="K193" i="4" s="1"/>
  <c r="M194" i="4"/>
  <c r="K194" i="4" s="1"/>
  <c r="M195" i="4"/>
  <c r="M196" i="4"/>
  <c r="M197" i="4"/>
  <c r="M198" i="4"/>
  <c r="M199" i="4"/>
  <c r="K199" i="4" s="1"/>
  <c r="M200" i="4"/>
  <c r="K200" i="4" s="1"/>
  <c r="M201" i="4"/>
  <c r="K201" i="4" s="1"/>
  <c r="M202" i="4"/>
  <c r="K202" i="4" s="1"/>
  <c r="M203" i="4"/>
  <c r="K203" i="4" s="1"/>
  <c r="M204" i="4"/>
  <c r="M205" i="4"/>
  <c r="K205" i="4" s="1"/>
  <c r="M206" i="4"/>
  <c r="K206" i="4" s="1"/>
  <c r="M207" i="4"/>
  <c r="M208" i="4"/>
  <c r="M209" i="4"/>
  <c r="M210" i="4"/>
  <c r="M211" i="4"/>
  <c r="K211" i="4" s="1"/>
  <c r="M212" i="4"/>
  <c r="K212" i="4" s="1"/>
  <c r="M213" i="4"/>
  <c r="K213" i="4" s="1"/>
  <c r="M214" i="4"/>
  <c r="K214" i="4" s="1"/>
  <c r="M215" i="4"/>
  <c r="K215" i="4" s="1"/>
  <c r="M216" i="4"/>
  <c r="M217" i="4"/>
  <c r="K217" i="4" s="1"/>
  <c r="M218" i="4"/>
  <c r="K218" i="4" s="1"/>
  <c r="M219" i="4"/>
  <c r="M220" i="4"/>
  <c r="M221" i="4"/>
  <c r="M222" i="4"/>
  <c r="M223" i="4"/>
  <c r="K223" i="4" s="1"/>
  <c r="M224" i="4"/>
  <c r="K224" i="4" s="1"/>
  <c r="M225" i="4"/>
  <c r="K225" i="4" s="1"/>
  <c r="M226" i="4"/>
  <c r="K226" i="4" s="1"/>
  <c r="M227" i="4"/>
  <c r="K227" i="4" s="1"/>
  <c r="M228" i="4"/>
  <c r="M229" i="4"/>
  <c r="K229" i="4" s="1"/>
  <c r="M230" i="4"/>
  <c r="K230" i="4" s="1"/>
  <c r="M231" i="4"/>
  <c r="M232" i="4"/>
  <c r="M233" i="4"/>
  <c r="M234" i="4"/>
  <c r="M235" i="4"/>
  <c r="K235" i="4" s="1"/>
  <c r="M236" i="4"/>
  <c r="K236" i="4" s="1"/>
  <c r="M237" i="4"/>
  <c r="K237" i="4" s="1"/>
  <c r="M238" i="4"/>
  <c r="K238" i="4" s="1"/>
  <c r="M239" i="4"/>
  <c r="K239" i="4" s="1"/>
  <c r="M240" i="4"/>
  <c r="M241" i="4"/>
  <c r="K241" i="4" s="1"/>
  <c r="M242" i="4"/>
  <c r="K242" i="4" s="1"/>
  <c r="M243" i="4"/>
  <c r="M244" i="4"/>
  <c r="M245" i="4"/>
  <c r="M246" i="4"/>
  <c r="M247" i="4"/>
  <c r="K247" i="4" s="1"/>
  <c r="M248" i="4"/>
  <c r="K248" i="4" s="1"/>
  <c r="M249" i="4"/>
  <c r="K249" i="4" s="1"/>
  <c r="M250" i="4"/>
  <c r="K250" i="4" s="1"/>
  <c r="M251" i="4"/>
  <c r="K251" i="4" s="1"/>
  <c r="M252" i="4"/>
  <c r="M253" i="4"/>
  <c r="K253" i="4" s="1"/>
  <c r="M254" i="4"/>
  <c r="K254" i="4" s="1"/>
  <c r="M255" i="4"/>
  <c r="M256" i="4"/>
  <c r="M257" i="4"/>
  <c r="M258" i="4"/>
  <c r="M259" i="4"/>
  <c r="K259" i="4" s="1"/>
  <c r="M260" i="4"/>
  <c r="K260" i="4" s="1"/>
  <c r="M261" i="4"/>
  <c r="K261" i="4" s="1"/>
  <c r="M262" i="4"/>
  <c r="K262" i="4" s="1"/>
  <c r="M263" i="4"/>
  <c r="K263" i="4" s="1"/>
  <c r="M264" i="4"/>
  <c r="M265" i="4"/>
  <c r="K265" i="4" s="1"/>
  <c r="M266" i="4"/>
  <c r="K266" i="4" s="1"/>
  <c r="M267" i="4"/>
  <c r="M268" i="4"/>
  <c r="M269" i="4"/>
  <c r="M270" i="4"/>
  <c r="M271" i="4"/>
  <c r="K271" i="4" s="1"/>
  <c r="M272" i="4"/>
  <c r="K272" i="4" s="1"/>
  <c r="M273" i="4"/>
  <c r="K273" i="4" s="1"/>
  <c r="M274" i="4"/>
  <c r="K274" i="4" s="1"/>
  <c r="M275" i="4"/>
  <c r="K275" i="4" s="1"/>
  <c r="M276" i="4"/>
  <c r="M277" i="4"/>
  <c r="K277" i="4" s="1"/>
  <c r="M278" i="4"/>
  <c r="K278" i="4" s="1"/>
  <c r="M279" i="4"/>
  <c r="M280" i="4"/>
  <c r="M281" i="4"/>
  <c r="M282" i="4"/>
  <c r="M283" i="4"/>
  <c r="K283" i="4" s="1"/>
  <c r="M284" i="4"/>
  <c r="K284" i="4" s="1"/>
  <c r="M285" i="4"/>
  <c r="K285" i="4" s="1"/>
  <c r="M286" i="4"/>
  <c r="K286" i="4" s="1"/>
  <c r="M287" i="4"/>
  <c r="K287" i="4" s="1"/>
  <c r="M288" i="4"/>
  <c r="M289" i="4"/>
  <c r="K289" i="4" s="1"/>
  <c r="M290" i="4"/>
  <c r="K290" i="4" s="1"/>
  <c r="M291" i="4"/>
  <c r="M292" i="4"/>
  <c r="M293" i="4"/>
  <c r="M294" i="4"/>
  <c r="M295" i="4"/>
  <c r="K295" i="4" s="1"/>
  <c r="M296" i="4"/>
  <c r="K296" i="4" s="1"/>
  <c r="M297" i="4"/>
  <c r="K297" i="4" s="1"/>
  <c r="M298" i="4"/>
  <c r="K298" i="4" s="1"/>
  <c r="M299" i="4"/>
  <c r="K299" i="4" s="1"/>
  <c r="M300" i="4"/>
  <c r="M301" i="4"/>
  <c r="K301" i="4" s="1"/>
  <c r="M302" i="4"/>
  <c r="K302" i="4" s="1"/>
  <c r="M303" i="4"/>
  <c r="M304" i="4"/>
  <c r="M305" i="4"/>
  <c r="M306" i="4"/>
  <c r="M307" i="4"/>
  <c r="K307" i="4" s="1"/>
  <c r="M308" i="4"/>
  <c r="K308" i="4" s="1"/>
  <c r="M309" i="4"/>
  <c r="K309" i="4" s="1"/>
  <c r="M310" i="4"/>
  <c r="K310" i="4" s="1"/>
  <c r="M311" i="4"/>
  <c r="K311" i="4" s="1"/>
  <c r="M312" i="4"/>
  <c r="M313" i="4"/>
  <c r="K313" i="4" s="1"/>
  <c r="M314" i="4"/>
  <c r="K314" i="4" s="1"/>
  <c r="M315" i="4"/>
  <c r="M316" i="4"/>
  <c r="M317" i="4"/>
  <c r="M318" i="4"/>
  <c r="M319" i="4"/>
  <c r="K319" i="4" s="1"/>
  <c r="M320" i="4"/>
  <c r="K320" i="4" s="1"/>
  <c r="M321" i="4"/>
  <c r="K321" i="4" s="1"/>
  <c r="M322" i="4"/>
  <c r="K322" i="4" s="1"/>
  <c r="M323" i="4"/>
  <c r="K323" i="4" s="1"/>
  <c r="M324" i="4"/>
  <c r="M325" i="4"/>
  <c r="K325" i="4" s="1"/>
  <c r="M326" i="4"/>
  <c r="K326" i="4" s="1"/>
  <c r="M327" i="4"/>
  <c r="M328" i="4"/>
  <c r="M329" i="4"/>
  <c r="M330" i="4"/>
  <c r="M331" i="4"/>
  <c r="K331" i="4" s="1"/>
  <c r="M332" i="4"/>
  <c r="K332" i="4" s="1"/>
  <c r="M333" i="4"/>
  <c r="K333" i="4" s="1"/>
  <c r="M334" i="4"/>
  <c r="K334" i="4" s="1"/>
  <c r="M335" i="4"/>
  <c r="K335" i="4" s="1"/>
  <c r="M336" i="4"/>
  <c r="M337" i="4"/>
  <c r="K337" i="4" s="1"/>
  <c r="M338" i="4"/>
  <c r="K338" i="4" s="1"/>
  <c r="M339" i="4"/>
  <c r="M340" i="4"/>
  <c r="M341" i="4"/>
  <c r="M342" i="4"/>
  <c r="M343" i="4"/>
  <c r="K343" i="4" s="1"/>
  <c r="M344" i="4"/>
  <c r="K344" i="4" s="1"/>
  <c r="M345" i="4"/>
  <c r="K345" i="4" s="1"/>
  <c r="M346" i="4"/>
  <c r="K346" i="4" s="1"/>
  <c r="M347" i="4"/>
  <c r="K347" i="4" s="1"/>
  <c r="M348" i="4"/>
  <c r="M349" i="4"/>
  <c r="K349" i="4" s="1"/>
  <c r="M350" i="4"/>
  <c r="K350" i="4" s="1"/>
  <c r="M351" i="4"/>
  <c r="M352" i="4"/>
  <c r="M353" i="4"/>
  <c r="M354" i="4"/>
  <c r="M355" i="4"/>
  <c r="K355" i="4" s="1"/>
  <c r="M356" i="4"/>
  <c r="K356" i="4" s="1"/>
  <c r="M357" i="4"/>
  <c r="K357" i="4" s="1"/>
  <c r="M358" i="4"/>
  <c r="K358" i="4" s="1"/>
  <c r="M359" i="4"/>
  <c r="K359" i="4" s="1"/>
  <c r="M360" i="4"/>
  <c r="M361" i="4"/>
  <c r="K361" i="4" s="1"/>
  <c r="M362" i="4"/>
  <c r="K362" i="4" s="1"/>
  <c r="M363" i="4"/>
  <c r="M364" i="4"/>
  <c r="M365" i="4"/>
  <c r="M366" i="4"/>
  <c r="M367" i="4"/>
  <c r="K367" i="4" s="1"/>
  <c r="M368" i="4"/>
  <c r="K368" i="4" s="1"/>
  <c r="M369" i="4"/>
  <c r="K369" i="4" s="1"/>
  <c r="M370" i="4"/>
  <c r="K370" i="4" s="1"/>
  <c r="M371" i="4"/>
  <c r="K371" i="4" s="1"/>
  <c r="M372" i="4"/>
  <c r="M373" i="4"/>
  <c r="K373" i="4" s="1"/>
  <c r="M374" i="4"/>
  <c r="K374" i="4" s="1"/>
  <c r="M375" i="4"/>
  <c r="M376" i="4"/>
  <c r="M377" i="4"/>
  <c r="M378" i="4"/>
  <c r="M379" i="4"/>
  <c r="K379" i="4" s="1"/>
  <c r="M380" i="4"/>
  <c r="K380" i="4" s="1"/>
  <c r="M381" i="4"/>
  <c r="K381" i="4" s="1"/>
  <c r="M382" i="4"/>
  <c r="K382" i="4" s="1"/>
  <c r="M383" i="4"/>
  <c r="K383" i="4" s="1"/>
  <c r="M384" i="4"/>
  <c r="M385" i="4"/>
  <c r="K385" i="4" s="1"/>
  <c r="M386" i="4"/>
  <c r="K386" i="4" s="1"/>
  <c r="M387" i="4"/>
  <c r="M388" i="4"/>
  <c r="M389" i="4"/>
  <c r="M390" i="4"/>
  <c r="M391" i="4"/>
  <c r="K391" i="4" s="1"/>
  <c r="M392" i="4"/>
  <c r="K392" i="4" s="1"/>
  <c r="M393" i="4"/>
  <c r="K393" i="4" s="1"/>
  <c r="M394" i="4"/>
  <c r="K394" i="4" s="1"/>
  <c r="M395" i="4"/>
  <c r="K395" i="4" s="1"/>
  <c r="M396" i="4"/>
  <c r="M397" i="4"/>
  <c r="M398" i="4"/>
  <c r="K398" i="4" s="1"/>
  <c r="M399" i="4"/>
  <c r="M400" i="4"/>
  <c r="M401" i="4"/>
  <c r="M402" i="4"/>
  <c r="M403" i="4"/>
  <c r="K403" i="4" s="1"/>
  <c r="M404" i="4"/>
  <c r="K404" i="4" s="1"/>
  <c r="M405" i="4"/>
  <c r="K405" i="4" s="1"/>
  <c r="M406" i="4"/>
  <c r="K406" i="4" s="1"/>
  <c r="M407" i="4"/>
  <c r="K407" i="4" s="1"/>
  <c r="M408" i="4"/>
  <c r="M409" i="4"/>
  <c r="K409" i="4" s="1"/>
  <c r="M410" i="4"/>
  <c r="K410" i="4" s="1"/>
  <c r="M411" i="4"/>
  <c r="M412" i="4"/>
  <c r="M413" i="4"/>
  <c r="M414" i="4"/>
  <c r="M415" i="4"/>
  <c r="M416" i="4"/>
  <c r="M417" i="4"/>
  <c r="K417" i="4" s="1"/>
  <c r="M418" i="4"/>
  <c r="K418" i="4" s="1"/>
  <c r="M419" i="4"/>
  <c r="K419" i="4" s="1"/>
  <c r="M420" i="4"/>
  <c r="M421" i="4"/>
  <c r="M422" i="4"/>
  <c r="K422" i="4" s="1"/>
  <c r="M423" i="4"/>
  <c r="M424" i="4"/>
  <c r="M425" i="4"/>
  <c r="M426" i="4"/>
  <c r="M427" i="4"/>
  <c r="M428" i="4"/>
  <c r="K428" i="4" s="1"/>
  <c r="M429" i="4"/>
  <c r="K429" i="4" s="1"/>
  <c r="M430" i="4"/>
  <c r="K430" i="4" s="1"/>
  <c r="M431" i="4"/>
  <c r="M432" i="4"/>
  <c r="M433" i="4"/>
  <c r="K433" i="4" s="1"/>
  <c r="M434" i="4"/>
  <c r="K434" i="4" s="1"/>
  <c r="M435" i="4"/>
  <c r="M436" i="4"/>
  <c r="M437" i="4"/>
  <c r="M438" i="4"/>
  <c r="M439" i="4"/>
  <c r="M440" i="4"/>
  <c r="M441" i="4"/>
  <c r="K441" i="4" s="1"/>
  <c r="M442" i="4"/>
  <c r="K442" i="4" s="1"/>
  <c r="M443" i="4"/>
  <c r="M444" i="4"/>
  <c r="M445" i="4"/>
  <c r="M446" i="4"/>
  <c r="K446" i="4" s="1"/>
  <c r="M447" i="4"/>
  <c r="M448" i="4"/>
  <c r="M449" i="4"/>
  <c r="M450" i="4"/>
  <c r="M451" i="4"/>
  <c r="M452" i="4"/>
  <c r="M453" i="4"/>
  <c r="M454" i="4"/>
  <c r="M455" i="4"/>
  <c r="M456" i="4"/>
  <c r="M457" i="4"/>
  <c r="M458" i="4"/>
  <c r="K458" i="4" s="1"/>
  <c r="M459" i="4"/>
  <c r="M460" i="4"/>
  <c r="M461" i="4"/>
  <c r="M462" i="4"/>
  <c r="M463" i="4"/>
  <c r="M464" i="4"/>
  <c r="K464" i="4" s="1"/>
  <c r="M465" i="4"/>
  <c r="M466" i="4"/>
  <c r="M467" i="4"/>
  <c r="M468" i="4"/>
  <c r="M469" i="4"/>
  <c r="M470" i="4"/>
  <c r="K470" i="4" s="1"/>
  <c r="M471" i="4"/>
  <c r="M472" i="4"/>
  <c r="M473" i="4"/>
  <c r="M474" i="4"/>
  <c r="M475" i="4"/>
  <c r="M476" i="4"/>
  <c r="K476" i="4" s="1"/>
  <c r="M477" i="4"/>
  <c r="M478" i="4"/>
  <c r="M479" i="4"/>
  <c r="M480" i="4"/>
  <c r="M481" i="4"/>
  <c r="K481" i="4" s="1"/>
  <c r="M482" i="4"/>
  <c r="K482" i="4" s="1"/>
  <c r="M483" i="4"/>
  <c r="M484" i="4"/>
  <c r="M485" i="4"/>
  <c r="M486" i="4"/>
  <c r="M487" i="4"/>
  <c r="M488" i="4"/>
  <c r="M489" i="4"/>
  <c r="M490" i="4"/>
  <c r="M491" i="4"/>
  <c r="M492" i="4"/>
  <c r="M493" i="4"/>
  <c r="M494" i="4"/>
  <c r="K494" i="4" s="1"/>
  <c r="M495" i="4"/>
  <c r="M496" i="4"/>
  <c r="M497" i="4"/>
  <c r="M498" i="4"/>
  <c r="M499" i="4"/>
  <c r="M500" i="4"/>
  <c r="M501" i="4"/>
  <c r="M502" i="4"/>
  <c r="M503" i="4"/>
  <c r="M504" i="4"/>
  <c r="M505" i="4"/>
  <c r="M506" i="4"/>
  <c r="K506" i="4" s="1"/>
  <c r="M507" i="4"/>
  <c r="M508" i="4"/>
  <c r="M509" i="4"/>
  <c r="M510" i="4"/>
  <c r="M511" i="4"/>
  <c r="M512" i="4"/>
  <c r="K512" i="4" s="1"/>
  <c r="M513" i="4"/>
  <c r="M514" i="4"/>
  <c r="M515" i="4"/>
  <c r="M516" i="4"/>
  <c r="M517" i="4"/>
  <c r="M518" i="4"/>
  <c r="K518" i="4" s="1"/>
  <c r="M519" i="4"/>
  <c r="M520" i="4"/>
  <c r="M521" i="4"/>
  <c r="M522" i="4"/>
  <c r="M523" i="4"/>
  <c r="M524" i="4"/>
  <c r="K524" i="4" s="1"/>
  <c r="M525" i="4"/>
  <c r="M526" i="4"/>
  <c r="M527" i="4"/>
  <c r="M528" i="4"/>
  <c r="M529" i="4"/>
  <c r="K529" i="4" s="1"/>
  <c r="M530" i="4"/>
  <c r="K530" i="4" s="1"/>
  <c r="M531" i="4"/>
  <c r="M532" i="4"/>
  <c r="M533" i="4"/>
  <c r="M534" i="4"/>
  <c r="M535" i="4"/>
  <c r="M536" i="4"/>
  <c r="M537" i="4"/>
  <c r="M538" i="4"/>
  <c r="M539" i="4"/>
  <c r="M540" i="4"/>
  <c r="M541" i="4"/>
  <c r="M542" i="4"/>
  <c r="K542" i="4" s="1"/>
  <c r="M543" i="4"/>
  <c r="M544" i="4"/>
  <c r="M545" i="4"/>
  <c r="M546" i="4"/>
  <c r="M547" i="4"/>
  <c r="M548" i="4"/>
  <c r="M549" i="4"/>
  <c r="M550" i="4"/>
  <c r="M551" i="4"/>
  <c r="M552" i="4"/>
  <c r="M553" i="4"/>
  <c r="M554" i="4"/>
  <c r="K554" i="4" s="1"/>
  <c r="M555" i="4"/>
  <c r="M556" i="4"/>
  <c r="M557" i="4"/>
  <c r="M558" i="4"/>
  <c r="M559" i="4"/>
  <c r="M560" i="4"/>
  <c r="K560" i="4" s="1"/>
  <c r="M561" i="4"/>
  <c r="M562" i="4"/>
  <c r="M563" i="4"/>
  <c r="M564" i="4"/>
  <c r="M565" i="4"/>
  <c r="M566" i="4"/>
  <c r="K566" i="4" s="1"/>
  <c r="M567" i="4"/>
  <c r="M568" i="4"/>
  <c r="M569" i="4"/>
  <c r="M570" i="4"/>
  <c r="M571" i="4"/>
  <c r="M572" i="4"/>
  <c r="K572" i="4" s="1"/>
  <c r="M2" i="4"/>
  <c r="G355" i="4"/>
  <c r="G572" i="4"/>
  <c r="G568" i="4"/>
  <c r="G127" i="4"/>
  <c r="G47" i="4"/>
  <c r="G42" i="4"/>
  <c r="G53" i="4"/>
  <c r="G109" i="4"/>
  <c r="G110" i="4"/>
  <c r="G100" i="4"/>
  <c r="G2" i="4"/>
  <c r="G63" i="4"/>
  <c r="G54" i="4"/>
  <c r="G88" i="4"/>
  <c r="G89" i="4"/>
  <c r="G90" i="4"/>
  <c r="G64" i="4"/>
  <c r="G83" i="4"/>
  <c r="G84" i="4"/>
  <c r="G85" i="4"/>
  <c r="G86" i="4"/>
  <c r="G103" i="4"/>
  <c r="G104" i="4"/>
  <c r="G105" i="4"/>
  <c r="G69" i="4"/>
  <c r="G74" i="4"/>
  <c r="G55" i="4"/>
  <c r="G37" i="4"/>
  <c r="G9" i="4"/>
  <c r="G10" i="4"/>
  <c r="G111" i="4"/>
  <c r="G70" i="4"/>
  <c r="G43" i="4"/>
  <c r="G162" i="4"/>
  <c r="G248" i="4"/>
  <c r="G258" i="4"/>
  <c r="G275" i="4"/>
  <c r="G285" i="4"/>
  <c r="G293" i="4"/>
  <c r="G297" i="4"/>
  <c r="G301" i="4"/>
  <c r="G311" i="4"/>
  <c r="G327" i="4"/>
  <c r="G151" i="4"/>
  <c r="G173" i="4"/>
  <c r="G202" i="4"/>
  <c r="G214" i="4"/>
  <c r="G236" i="4"/>
  <c r="G269" i="4"/>
  <c r="G298" i="4"/>
  <c r="G359" i="4"/>
  <c r="G259" i="4"/>
  <c r="G48" i="4"/>
  <c r="G49" i="4"/>
  <c r="G56" i="4"/>
  <c r="G106" i="4"/>
  <c r="G177" i="4"/>
  <c r="G349" i="4"/>
  <c r="G350" i="4"/>
  <c r="G427" i="4"/>
  <c r="G428" i="4"/>
  <c r="G340" i="4"/>
  <c r="G546" i="4"/>
  <c r="G547" i="4"/>
  <c r="G249" i="4"/>
  <c r="G128" i="4"/>
  <c r="G17" i="4"/>
  <c r="G143" i="4"/>
  <c r="G480" i="4"/>
  <c r="G481" i="4"/>
  <c r="G548" i="4"/>
  <c r="G482" i="4"/>
  <c r="G345" i="4"/>
  <c r="G549" i="4"/>
  <c r="G129" i="4"/>
  <c r="G377" i="4"/>
  <c r="G183" i="4"/>
  <c r="G454" i="4"/>
  <c r="G11" i="4"/>
  <c r="G65" i="4"/>
  <c r="G178" i="4"/>
  <c r="G184" i="4"/>
  <c r="G540" i="4"/>
  <c r="G12" i="4"/>
  <c r="G13" i="4"/>
  <c r="G57" i="4"/>
  <c r="G179" i="4"/>
  <c r="G14" i="4"/>
  <c r="G152" i="4"/>
  <c r="G264" i="4"/>
  <c r="G519" i="4"/>
  <c r="G250" i="4"/>
  <c r="G306" i="4"/>
  <c r="G226" i="4"/>
  <c r="G260" i="4"/>
  <c r="G262" i="4"/>
  <c r="G44" i="4"/>
  <c r="G276" i="4"/>
  <c r="G112" i="4"/>
  <c r="G460" i="4"/>
  <c r="G497" i="4"/>
  <c r="G351" i="4"/>
  <c r="G147" i="4"/>
  <c r="G483" i="4"/>
  <c r="G378" i="4"/>
  <c r="G498" i="4"/>
  <c r="G504" i="4"/>
  <c r="G466" i="4"/>
  <c r="G541" i="4"/>
  <c r="G314" i="4"/>
  <c r="G113" i="4"/>
  <c r="G283" i="4"/>
  <c r="G437" i="4"/>
  <c r="G467" i="4"/>
  <c r="G492" i="4"/>
  <c r="G499" i="4"/>
  <c r="G484" i="4"/>
  <c r="G185" i="4"/>
  <c r="G315" i="4"/>
  <c r="G542" i="4"/>
  <c r="G379" i="4"/>
  <c r="G556" i="4"/>
  <c r="G192" i="4"/>
  <c r="G352" i="4"/>
  <c r="G380" i="4"/>
  <c r="G493" i="4"/>
  <c r="G180" i="4"/>
  <c r="G153" i="4"/>
  <c r="G130" i="4"/>
  <c r="G368" i="4"/>
  <c r="G447" i="4"/>
  <c r="G468" i="4"/>
  <c r="G494" i="4"/>
  <c r="G543" i="4"/>
  <c r="G557" i="4"/>
  <c r="G381" i="4"/>
  <c r="G448" i="4"/>
  <c r="G181" i="4"/>
  <c r="G316" i="4"/>
  <c r="G369" i="4"/>
  <c r="G486" i="4"/>
  <c r="G489" i="4"/>
  <c r="G550" i="4"/>
  <c r="G341" i="4"/>
  <c r="G107" i="4"/>
  <c r="G263" i="4"/>
  <c r="G27" i="4"/>
  <c r="G144" i="4"/>
  <c r="G154" i="4"/>
  <c r="G201" i="4"/>
  <c r="G270" i="4"/>
  <c r="G346" i="4"/>
  <c r="G500" i="4"/>
  <c r="G300" i="4"/>
  <c r="G3" i="4"/>
  <c r="G31" i="4"/>
  <c r="G139" i="4"/>
  <c r="G261" i="4"/>
  <c r="G324" i="4"/>
  <c r="G365" i="4"/>
  <c r="G445" i="4"/>
  <c r="G438" i="4"/>
  <c r="G347" i="4"/>
  <c r="G502" i="4"/>
  <c r="G155" i="4"/>
  <c r="G28" i="4"/>
  <c r="G114" i="4"/>
  <c r="G66" i="4"/>
  <c r="G45" i="4"/>
  <c r="G544" i="4"/>
  <c r="G461" i="4"/>
  <c r="G334" i="4"/>
  <c r="G225" i="4"/>
  <c r="G433" i="4"/>
  <c r="G463" i="4"/>
  <c r="G335" i="4"/>
  <c r="G495" i="4"/>
  <c r="G429" i="4"/>
  <c r="G402" i="4"/>
  <c r="G363" i="4"/>
  <c r="G374" i="4"/>
  <c r="G446" i="4"/>
  <c r="G458" i="4"/>
  <c r="G464" i="4"/>
  <c r="G505" i="4"/>
  <c r="G336" i="4"/>
  <c r="G485" i="4"/>
  <c r="G462" i="4"/>
  <c r="G408" i="4"/>
  <c r="G131" i="4"/>
  <c r="G125" i="4"/>
  <c r="G251" i="4"/>
  <c r="G382" i="4"/>
  <c r="G511" i="4"/>
  <c r="G186" i="4"/>
  <c r="G187" i="4"/>
  <c r="G277" i="4"/>
  <c r="G383" i="4"/>
  <c r="G384" i="4"/>
  <c r="G545" i="4"/>
  <c r="G523" i="4"/>
  <c r="G240" i="4"/>
  <c r="G469" i="4"/>
  <c r="G567" i="4"/>
  <c r="G524" i="4"/>
  <c r="G145" i="4"/>
  <c r="G329" i="4"/>
  <c r="G360" i="4"/>
  <c r="G375" i="4"/>
  <c r="G501" i="4"/>
  <c r="G101" i="4"/>
  <c r="G307" i="4"/>
  <c r="G322" i="4"/>
  <c r="G323" i="4"/>
  <c r="G241" i="4"/>
  <c r="G46" i="4"/>
  <c r="G76" i="4"/>
  <c r="G18" i="4"/>
  <c r="G558" i="4"/>
  <c r="G559" i="4"/>
  <c r="G115" i="4"/>
  <c r="G116" i="4"/>
  <c r="G4" i="4"/>
  <c r="G32" i="4"/>
  <c r="G58" i="4"/>
  <c r="G75" i="4"/>
  <c r="G117" i="4"/>
  <c r="G146" i="4"/>
  <c r="G392" i="4"/>
  <c r="G424" i="4"/>
  <c r="G71" i="4"/>
  <c r="G93" i="4"/>
  <c r="G171" i="4"/>
  <c r="G193" i="4"/>
  <c r="G203" i="4"/>
  <c r="G207" i="4"/>
  <c r="G215" i="4"/>
  <c r="G219" i="4"/>
  <c r="G227" i="4"/>
  <c r="G232" i="4"/>
  <c r="G233" i="4"/>
  <c r="G253" i="4"/>
  <c r="G267" i="4"/>
  <c r="G272" i="4"/>
  <c r="G281" i="4"/>
  <c r="G287" i="4"/>
  <c r="G294" i="4"/>
  <c r="G299" i="4"/>
  <c r="G302" i="4"/>
  <c r="G325" i="4"/>
  <c r="G348" i="4"/>
  <c r="G353" i="4"/>
  <c r="G361" i="4"/>
  <c r="G370" i="4"/>
  <c r="G416" i="4"/>
  <c r="G420" i="4"/>
  <c r="G422" i="4"/>
  <c r="G439" i="4"/>
  <c r="G506" i="4"/>
  <c r="G520" i="4"/>
  <c r="G529" i="4"/>
  <c r="G534" i="4"/>
  <c r="G560" i="4"/>
  <c r="G551" i="4"/>
  <c r="G535" i="4"/>
  <c r="G72" i="4"/>
  <c r="G521" i="4"/>
  <c r="G156" i="4"/>
  <c r="G254" i="4"/>
  <c r="G271" i="4"/>
  <c r="G308" i="4"/>
  <c r="G157" i="4"/>
  <c r="G312" i="4"/>
  <c r="G330" i="4"/>
  <c r="G393" i="4"/>
  <c r="G440" i="4"/>
  <c r="G561" i="4"/>
  <c r="G140" i="4"/>
  <c r="G132" i="4"/>
  <c r="G59" i="4"/>
  <c r="G133" i="4"/>
  <c r="G148" i="4"/>
  <c r="G284" i="4"/>
  <c r="G242" i="4"/>
  <c r="G19" i="4"/>
  <c r="G163" i="4"/>
  <c r="G211" i="4"/>
  <c r="G220" i="4"/>
  <c r="G237" i="4"/>
  <c r="G510" i="4"/>
  <c r="G403" i="4"/>
  <c r="G204" i="4"/>
  <c r="G208" i="4"/>
  <c r="G29" i="4"/>
  <c r="G67" i="4"/>
  <c r="G221" i="4"/>
  <c r="G243" i="4"/>
  <c r="G425" i="4"/>
  <c r="G434" i="4"/>
  <c r="G455" i="4"/>
  <c r="G487" i="4"/>
  <c r="G491" i="4"/>
  <c r="G530" i="4"/>
  <c r="G303" i="4"/>
  <c r="G503" i="4"/>
  <c r="G512" i="4"/>
  <c r="G522" i="4"/>
  <c r="G536" i="4"/>
  <c r="G552" i="4"/>
  <c r="G470" i="4"/>
  <c r="G118" i="4"/>
  <c r="G126" i="4"/>
  <c r="G158" i="4"/>
  <c r="G164" i="4"/>
  <c r="G321" i="4"/>
  <c r="G394" i="4"/>
  <c r="G507" i="4"/>
  <c r="G513" i="4"/>
  <c r="G525" i="4"/>
  <c r="G553" i="4"/>
  <c r="G22" i="4"/>
  <c r="G417" i="4"/>
  <c r="G423" i="4"/>
  <c r="G91" i="4"/>
  <c r="G167" i="4"/>
  <c r="G23" i="4"/>
  <c r="G35" i="4"/>
  <c r="G87" i="4"/>
  <c r="G212" i="4"/>
  <c r="G435" i="4"/>
  <c r="G358" i="4"/>
  <c r="G50" i="4"/>
  <c r="G230" i="4"/>
  <c r="G471" i="4"/>
  <c r="G404" i="4"/>
  <c r="G255" i="4"/>
  <c r="G337" i="4"/>
  <c r="G371" i="4"/>
  <c r="G385" i="4"/>
  <c r="G209" i="4"/>
  <c r="G366" i="4"/>
  <c r="G514" i="4"/>
  <c r="G388" i="4"/>
  <c r="G354" i="4"/>
  <c r="G409" i="4"/>
  <c r="G188" i="4"/>
  <c r="G189" i="4"/>
  <c r="G194" i="4"/>
  <c r="G228" i="4"/>
  <c r="G410" i="4"/>
  <c r="G449" i="4"/>
  <c r="G515" i="4"/>
  <c r="G554" i="4"/>
  <c r="G516" i="4"/>
  <c r="G405" i="4"/>
  <c r="G411" i="4"/>
  <c r="G338" i="4"/>
  <c r="G134" i="4"/>
  <c r="G172" i="4"/>
  <c r="G295" i="4"/>
  <c r="G412" i="4"/>
  <c r="G372" i="4"/>
  <c r="G168" i="4"/>
  <c r="G195" i="4"/>
  <c r="G210" i="4"/>
  <c r="G216" i="4"/>
  <c r="G222" i="4"/>
  <c r="G234" i="4"/>
  <c r="G265" i="4"/>
  <c r="G273" i="4"/>
  <c r="G288" i="4"/>
  <c r="G326" i="4"/>
  <c r="G367" i="4"/>
  <c r="G373" i="4"/>
  <c r="G421" i="4"/>
  <c r="G441" i="4"/>
  <c r="G531" i="4"/>
  <c r="G537" i="4"/>
  <c r="G517" i="4"/>
  <c r="G317" i="4"/>
  <c r="G342" i="4"/>
  <c r="G376" i="4"/>
  <c r="G459" i="4"/>
  <c r="G305" i="4"/>
  <c r="G456" i="4"/>
  <c r="G328" i="4"/>
  <c r="G169" i="4"/>
  <c r="G238" i="4"/>
  <c r="G266" i="4"/>
  <c r="G278" i="4"/>
  <c r="G289" i="4"/>
  <c r="G526" i="4"/>
  <c r="G538" i="4"/>
  <c r="G539" i="4"/>
  <c r="G356" i="4"/>
  <c r="G20" i="4"/>
  <c r="G60" i="4"/>
  <c r="G92" i="4"/>
  <c r="G102" i="4"/>
  <c r="G141" i="4"/>
  <c r="G231" i="4"/>
  <c r="G304" i="4"/>
  <c r="G30" i="4"/>
  <c r="G94" i="4"/>
  <c r="G108" i="4"/>
  <c r="G256" i="4"/>
  <c r="G343" i="4"/>
  <c r="G205" i="4"/>
  <c r="G239" i="4"/>
  <c r="G532" i="4"/>
  <c r="G569" i="4"/>
  <c r="G389" i="4"/>
  <c r="G390" i="4"/>
  <c r="G527" i="4"/>
  <c r="G339" i="4"/>
  <c r="G357" i="4"/>
  <c r="G562" i="4"/>
  <c r="G570" i="4"/>
  <c r="G77" i="4"/>
  <c r="G149" i="4"/>
  <c r="G282" i="4"/>
  <c r="G68" i="4"/>
  <c r="G119" i="4"/>
  <c r="G488" i="4"/>
  <c r="G344" i="4"/>
  <c r="G24" i="4"/>
  <c r="G38" i="4"/>
  <c r="G413" i="4"/>
  <c r="G418" i="4"/>
  <c r="G395" i="4"/>
  <c r="G406" i="4"/>
  <c r="G508" i="4"/>
  <c r="G396" i="4"/>
  <c r="G391" i="4"/>
  <c r="G397" i="4"/>
  <c r="G465" i="4"/>
  <c r="G528" i="4"/>
  <c r="G398" i="4"/>
  <c r="G318" i="4"/>
  <c r="G206" i="4"/>
  <c r="G563" i="4"/>
  <c r="G472" i="4"/>
  <c r="G135" i="4"/>
  <c r="G165" i="4"/>
  <c r="G190" i="4"/>
  <c r="G279" i="4"/>
  <c r="G476" i="4"/>
  <c r="G509" i="4"/>
  <c r="G5" i="4"/>
  <c r="G21" i="4"/>
  <c r="G120" i="4"/>
  <c r="G121" i="4"/>
  <c r="G213" i="4"/>
  <c r="G244" i="4"/>
  <c r="G61" i="4"/>
  <c r="G166" i="4"/>
  <c r="G229" i="4"/>
  <c r="G235" i="4"/>
  <c r="G257" i="4"/>
  <c r="G564" i="4"/>
  <c r="G309" i="4"/>
  <c r="G444" i="4"/>
  <c r="G290" i="4"/>
  <c r="G414" i="4"/>
  <c r="G473" i="4"/>
  <c r="G159" i="4"/>
  <c r="G477" i="4"/>
  <c r="G436" i="4"/>
  <c r="G474" i="4"/>
  <c r="G160" i="4"/>
  <c r="G518" i="4"/>
  <c r="G223" i="4"/>
  <c r="G331" i="4"/>
  <c r="G442" i="4"/>
  <c r="G450" i="4"/>
  <c r="G478" i="4"/>
  <c r="G399" i="4"/>
  <c r="G33" i="4"/>
  <c r="G196" i="4"/>
  <c r="G217" i="4"/>
  <c r="G310" i="4"/>
  <c r="G430" i="4"/>
  <c r="G364" i="4"/>
  <c r="G6" i="4"/>
  <c r="G34" i="4"/>
  <c r="G400" i="4"/>
  <c r="G73" i="4"/>
  <c r="G174" i="4"/>
  <c r="G224" i="4"/>
  <c r="G268" i="4"/>
  <c r="G291" i="4"/>
  <c r="G362" i="4"/>
  <c r="G386" i="4"/>
  <c r="G431" i="4"/>
  <c r="G451" i="4"/>
  <c r="G245" i="4"/>
  <c r="G555" i="4"/>
  <c r="G246" i="4"/>
  <c r="G292" i="4"/>
  <c r="G182" i="4"/>
  <c r="G565" i="4"/>
  <c r="G252" i="4"/>
  <c r="G332" i="4"/>
  <c r="G387" i="4"/>
  <c r="G443" i="4"/>
  <c r="G136" i="4"/>
  <c r="G137" i="4"/>
  <c r="G197" i="4"/>
  <c r="G432" i="4"/>
  <c r="G62" i="4"/>
  <c r="G25" i="4"/>
  <c r="G138" i="4"/>
  <c r="G161" i="4"/>
  <c r="G452" i="4"/>
  <c r="G453" i="4"/>
  <c r="G533" i="4"/>
  <c r="G247" i="4"/>
  <c r="G566" i="4"/>
  <c r="G51" i="4"/>
  <c r="G426" i="4"/>
  <c r="G457" i="4"/>
  <c r="G496" i="4"/>
  <c r="G313" i="4"/>
  <c r="G401" i="4"/>
  <c r="G122" i="4"/>
  <c r="G479" i="4"/>
  <c r="G319" i="4"/>
  <c r="G170" i="4"/>
  <c r="G142" i="4"/>
  <c r="G286" i="4"/>
  <c r="G419" i="4"/>
  <c r="G36" i="4"/>
  <c r="G333" i="4"/>
  <c r="G407" i="4"/>
  <c r="G175" i="4"/>
  <c r="G296" i="4"/>
  <c r="G320" i="4"/>
  <c r="G490" i="4"/>
  <c r="G571" i="4"/>
  <c r="G475" i="4"/>
  <c r="G191" i="4"/>
  <c r="G39" i="4"/>
  <c r="G26" i="4"/>
  <c r="G40" i="4"/>
  <c r="G95" i="4"/>
  <c r="G15" i="4"/>
  <c r="G16" i="4"/>
  <c r="G150" i="4"/>
  <c r="G176" i="4"/>
  <c r="G218" i="4"/>
  <c r="G274" i="4"/>
  <c r="G280" i="4"/>
  <c r="G7" i="4"/>
  <c r="G8" i="4"/>
  <c r="G123" i="4"/>
  <c r="G124" i="4"/>
  <c r="G78" i="4"/>
  <c r="G79" i="4"/>
  <c r="G80" i="4"/>
  <c r="G81" i="4"/>
  <c r="G82" i="4"/>
  <c r="G52" i="4"/>
  <c r="G41" i="4"/>
  <c r="G96" i="4"/>
  <c r="G97" i="4"/>
  <c r="G98" i="4"/>
  <c r="G99" i="4"/>
  <c r="G198" i="4"/>
  <c r="G199" i="4"/>
  <c r="G200" i="4"/>
  <c r="G415" i="4"/>
  <c r="K416" i="4" l="1"/>
  <c r="N416" i="4" s="1"/>
  <c r="K397" i="4"/>
  <c r="N397" i="4" s="1"/>
  <c r="K532" i="4"/>
  <c r="N532" i="4" s="1"/>
  <c r="K472" i="4"/>
  <c r="N472" i="4" s="1"/>
  <c r="K412" i="4"/>
  <c r="N412" i="4" s="1"/>
  <c r="K352" i="4"/>
  <c r="N352" i="4" s="1"/>
  <c r="K280" i="4"/>
  <c r="N280" i="4" s="1"/>
  <c r="K208" i="4"/>
  <c r="N208" i="4" s="1"/>
  <c r="K567" i="4"/>
  <c r="N567" i="4" s="1"/>
  <c r="K555" i="4"/>
  <c r="N555" i="4" s="1"/>
  <c r="K543" i="4"/>
  <c r="N543" i="4" s="1"/>
  <c r="K531" i="4"/>
  <c r="N531" i="4" s="1"/>
  <c r="K519" i="4"/>
  <c r="N519" i="4" s="1"/>
  <c r="K507" i="4"/>
  <c r="N507" i="4" s="1"/>
  <c r="K495" i="4"/>
  <c r="N495" i="4" s="1"/>
  <c r="K483" i="4"/>
  <c r="N483" i="4" s="1"/>
  <c r="K471" i="4"/>
  <c r="N471" i="4" s="1"/>
  <c r="K459" i="4"/>
  <c r="N459" i="4" s="1"/>
  <c r="K447" i="4"/>
  <c r="N447" i="4" s="1"/>
  <c r="K435" i="4"/>
  <c r="N435" i="4" s="1"/>
  <c r="K423" i="4"/>
  <c r="N423" i="4" s="1"/>
  <c r="K544" i="4"/>
  <c r="N544" i="4" s="1"/>
  <c r="K484" i="4"/>
  <c r="N484" i="4" s="1"/>
  <c r="K424" i="4"/>
  <c r="N424" i="4" s="1"/>
  <c r="K364" i="4"/>
  <c r="N364" i="4" s="1"/>
  <c r="K304" i="4"/>
  <c r="N304" i="4" s="1"/>
  <c r="K268" i="4"/>
  <c r="N268" i="4" s="1"/>
  <c r="K220" i="4"/>
  <c r="N220" i="4" s="1"/>
  <c r="K136" i="4"/>
  <c r="N136" i="4" s="1"/>
  <c r="K556" i="4"/>
  <c r="N556" i="4" s="1"/>
  <c r="K496" i="4"/>
  <c r="N496" i="4" s="1"/>
  <c r="K436" i="4"/>
  <c r="N436" i="4" s="1"/>
  <c r="K376" i="4"/>
  <c r="N376" i="4" s="1"/>
  <c r="K340" i="4"/>
  <c r="N340" i="4" s="1"/>
  <c r="K292" i="4"/>
  <c r="N292" i="4" s="1"/>
  <c r="K232" i="4"/>
  <c r="N232" i="4" s="1"/>
  <c r="K172" i="4"/>
  <c r="N172" i="4" s="1"/>
  <c r="K148" i="4"/>
  <c r="N148" i="4" s="1"/>
  <c r="N529" i="4"/>
  <c r="N481" i="4"/>
  <c r="N433" i="4"/>
  <c r="K568" i="4"/>
  <c r="N568" i="4" s="1"/>
  <c r="K508" i="4"/>
  <c r="N508" i="4" s="1"/>
  <c r="K448" i="4"/>
  <c r="N448" i="4" s="1"/>
  <c r="K388" i="4"/>
  <c r="N388" i="4" s="1"/>
  <c r="K328" i="4"/>
  <c r="N328" i="4" s="1"/>
  <c r="K256" i="4"/>
  <c r="N256" i="4" s="1"/>
  <c r="K196" i="4"/>
  <c r="N196" i="4" s="1"/>
  <c r="K160" i="4"/>
  <c r="N160" i="4" s="1"/>
  <c r="K564" i="4"/>
  <c r="N564" i="4" s="1"/>
  <c r="K552" i="4"/>
  <c r="N552" i="4" s="1"/>
  <c r="K540" i="4"/>
  <c r="N540" i="4" s="1"/>
  <c r="K528" i="4"/>
  <c r="N528" i="4" s="1"/>
  <c r="K516" i="4"/>
  <c r="N516" i="4" s="1"/>
  <c r="K504" i="4"/>
  <c r="N504" i="4" s="1"/>
  <c r="K492" i="4"/>
  <c r="N492" i="4" s="1"/>
  <c r="K480" i="4"/>
  <c r="N480" i="4" s="1"/>
  <c r="K468" i="4"/>
  <c r="N468" i="4" s="1"/>
  <c r="K456" i="4"/>
  <c r="N456" i="4" s="1"/>
  <c r="K444" i="4"/>
  <c r="N444" i="4" s="1"/>
  <c r="K432" i="4"/>
  <c r="N432" i="4" s="1"/>
  <c r="K420" i="4"/>
  <c r="N420" i="4" s="1"/>
  <c r="K408" i="4"/>
  <c r="N408" i="4" s="1"/>
  <c r="K396" i="4"/>
  <c r="N396" i="4" s="1"/>
  <c r="K384" i="4"/>
  <c r="N384" i="4" s="1"/>
  <c r="K372" i="4"/>
  <c r="N372" i="4" s="1"/>
  <c r="K360" i="4"/>
  <c r="N360" i="4" s="1"/>
  <c r="K348" i="4"/>
  <c r="N348" i="4" s="1"/>
  <c r="K336" i="4"/>
  <c r="N336" i="4" s="1"/>
  <c r="K324" i="4"/>
  <c r="N324" i="4" s="1"/>
  <c r="K312" i="4"/>
  <c r="N312" i="4" s="1"/>
  <c r="K300" i="4"/>
  <c r="N300" i="4" s="1"/>
  <c r="K288" i="4"/>
  <c r="N288" i="4" s="1"/>
  <c r="K276" i="4"/>
  <c r="N276" i="4" s="1"/>
  <c r="K264" i="4"/>
  <c r="N264" i="4" s="1"/>
  <c r="K252" i="4"/>
  <c r="N252" i="4" s="1"/>
  <c r="K240" i="4"/>
  <c r="N240" i="4" s="1"/>
  <c r="K228" i="4"/>
  <c r="N228" i="4" s="1"/>
  <c r="K216" i="4"/>
  <c r="N216" i="4" s="1"/>
  <c r="K204" i="4"/>
  <c r="N204" i="4" s="1"/>
  <c r="K192" i="4"/>
  <c r="N192" i="4" s="1"/>
  <c r="K180" i="4"/>
  <c r="N180" i="4" s="1"/>
  <c r="K168" i="4"/>
  <c r="N168" i="4" s="1"/>
  <c r="K156" i="4"/>
  <c r="N156" i="4" s="1"/>
  <c r="K144" i="4"/>
  <c r="N144" i="4" s="1"/>
  <c r="K132" i="4"/>
  <c r="N132" i="4" s="1"/>
  <c r="K120" i="4"/>
  <c r="N120" i="4" s="1"/>
  <c r="K108" i="4"/>
  <c r="N108" i="4" s="1"/>
  <c r="K96" i="4"/>
  <c r="N96" i="4" s="1"/>
  <c r="K84" i="4"/>
  <c r="N84" i="4" s="1"/>
  <c r="K72" i="4"/>
  <c r="N72" i="4" s="1"/>
  <c r="K60" i="4"/>
  <c r="N60" i="4" s="1"/>
  <c r="K48" i="4"/>
  <c r="N48" i="4" s="1"/>
  <c r="K36" i="4"/>
  <c r="N36" i="4" s="1"/>
  <c r="K24" i="4"/>
  <c r="N24" i="4" s="1"/>
  <c r="K12" i="4"/>
  <c r="N12" i="4" s="1"/>
  <c r="K565" i="4"/>
  <c r="N565" i="4" s="1"/>
  <c r="K517" i="4"/>
  <c r="N517" i="4" s="1"/>
  <c r="K469" i="4"/>
  <c r="N469" i="4" s="1"/>
  <c r="K421" i="4"/>
  <c r="N421" i="4" s="1"/>
  <c r="K520" i="4"/>
  <c r="N520" i="4" s="1"/>
  <c r="K460" i="4"/>
  <c r="N460" i="4" s="1"/>
  <c r="K400" i="4"/>
  <c r="N400" i="4" s="1"/>
  <c r="K316" i="4"/>
  <c r="N316" i="4" s="1"/>
  <c r="K244" i="4"/>
  <c r="N244" i="4" s="1"/>
  <c r="K184" i="4"/>
  <c r="N184" i="4" s="1"/>
  <c r="K563" i="4"/>
  <c r="N563" i="4" s="1"/>
  <c r="K551" i="4"/>
  <c r="N551" i="4" s="1"/>
  <c r="K539" i="4"/>
  <c r="N539" i="4" s="1"/>
  <c r="K527" i="4"/>
  <c r="N527" i="4" s="1"/>
  <c r="K515" i="4"/>
  <c r="N515" i="4" s="1"/>
  <c r="K503" i="4"/>
  <c r="N503" i="4" s="1"/>
  <c r="K491" i="4"/>
  <c r="N491" i="4" s="1"/>
  <c r="K479" i="4"/>
  <c r="N479" i="4" s="1"/>
  <c r="K467" i="4"/>
  <c r="N467" i="4" s="1"/>
  <c r="K455" i="4"/>
  <c r="N455" i="4" s="1"/>
  <c r="K443" i="4"/>
  <c r="N443" i="4" s="1"/>
  <c r="K431" i="4"/>
  <c r="N431" i="4" s="1"/>
  <c r="K562" i="4"/>
  <c r="N562" i="4" s="1"/>
  <c r="K550" i="4"/>
  <c r="N550" i="4" s="1"/>
  <c r="K538" i="4"/>
  <c r="N538" i="4" s="1"/>
  <c r="K526" i="4"/>
  <c r="N526" i="4" s="1"/>
  <c r="K514" i="4"/>
  <c r="N514" i="4" s="1"/>
  <c r="K502" i="4"/>
  <c r="N502" i="4" s="1"/>
  <c r="K490" i="4"/>
  <c r="N490" i="4" s="1"/>
  <c r="K478" i="4"/>
  <c r="N478" i="4" s="1"/>
  <c r="K466" i="4"/>
  <c r="N466" i="4" s="1"/>
  <c r="K454" i="4"/>
  <c r="N454" i="4" s="1"/>
  <c r="K2" i="4"/>
  <c r="N2" i="4" s="1"/>
  <c r="K561" i="4"/>
  <c r="N561" i="4" s="1"/>
  <c r="K549" i="4"/>
  <c r="N549" i="4" s="1"/>
  <c r="K537" i="4"/>
  <c r="N537" i="4" s="1"/>
  <c r="K525" i="4"/>
  <c r="N525" i="4" s="1"/>
  <c r="K513" i="4"/>
  <c r="N513" i="4" s="1"/>
  <c r="K501" i="4"/>
  <c r="N501" i="4" s="1"/>
  <c r="K489" i="4"/>
  <c r="N489" i="4" s="1"/>
  <c r="K477" i="4"/>
  <c r="N477" i="4" s="1"/>
  <c r="K465" i="4"/>
  <c r="N465" i="4" s="1"/>
  <c r="K453" i="4"/>
  <c r="N453" i="4" s="1"/>
  <c r="K553" i="4"/>
  <c r="N553" i="4" s="1"/>
  <c r="K505" i="4"/>
  <c r="N505" i="4" s="1"/>
  <c r="K457" i="4"/>
  <c r="N457" i="4" s="1"/>
  <c r="N572" i="4"/>
  <c r="N560" i="4"/>
  <c r="N524" i="4"/>
  <c r="N512" i="4"/>
  <c r="N476" i="4"/>
  <c r="N464" i="4"/>
  <c r="N428" i="4"/>
  <c r="K548" i="4"/>
  <c r="N548" i="4" s="1"/>
  <c r="K500" i="4"/>
  <c r="N500" i="4" s="1"/>
  <c r="K452" i="4"/>
  <c r="N452" i="4" s="1"/>
  <c r="K571" i="4"/>
  <c r="N571" i="4" s="1"/>
  <c r="K559" i="4"/>
  <c r="N559" i="4" s="1"/>
  <c r="K547" i="4"/>
  <c r="N547" i="4" s="1"/>
  <c r="K535" i="4"/>
  <c r="N535" i="4" s="1"/>
  <c r="K523" i="4"/>
  <c r="N523" i="4" s="1"/>
  <c r="K511" i="4"/>
  <c r="N511" i="4" s="1"/>
  <c r="K499" i="4"/>
  <c r="N499" i="4" s="1"/>
  <c r="K487" i="4"/>
  <c r="N487" i="4" s="1"/>
  <c r="K475" i="4"/>
  <c r="N475" i="4" s="1"/>
  <c r="K463" i="4"/>
  <c r="N463" i="4" s="1"/>
  <c r="K451" i="4"/>
  <c r="N451" i="4" s="1"/>
  <c r="K439" i="4"/>
  <c r="N439" i="4" s="1"/>
  <c r="K427" i="4"/>
  <c r="N427" i="4" s="1"/>
  <c r="K415" i="4"/>
  <c r="N415" i="4" s="1"/>
  <c r="K570" i="4"/>
  <c r="N570" i="4" s="1"/>
  <c r="K558" i="4"/>
  <c r="N558" i="4" s="1"/>
  <c r="K546" i="4"/>
  <c r="N546" i="4" s="1"/>
  <c r="K534" i="4"/>
  <c r="N534" i="4" s="1"/>
  <c r="K522" i="4"/>
  <c r="N522" i="4" s="1"/>
  <c r="K510" i="4"/>
  <c r="N510" i="4" s="1"/>
  <c r="K498" i="4"/>
  <c r="N498" i="4" s="1"/>
  <c r="K486" i="4"/>
  <c r="N486" i="4" s="1"/>
  <c r="K474" i="4"/>
  <c r="N474" i="4" s="1"/>
  <c r="K462" i="4"/>
  <c r="N462" i="4" s="1"/>
  <c r="K450" i="4"/>
  <c r="N450" i="4" s="1"/>
  <c r="K438" i="4"/>
  <c r="N438" i="4" s="1"/>
  <c r="K426" i="4"/>
  <c r="N426" i="4" s="1"/>
  <c r="K414" i="4"/>
  <c r="N414" i="4" s="1"/>
  <c r="K402" i="4"/>
  <c r="N402" i="4" s="1"/>
  <c r="K390" i="4"/>
  <c r="N390" i="4" s="1"/>
  <c r="K378" i="4"/>
  <c r="N378" i="4" s="1"/>
  <c r="K366" i="4"/>
  <c r="N366" i="4" s="1"/>
  <c r="K354" i="4"/>
  <c r="N354" i="4" s="1"/>
  <c r="K342" i="4"/>
  <c r="N342" i="4" s="1"/>
  <c r="K330" i="4"/>
  <c r="N330" i="4" s="1"/>
  <c r="K318" i="4"/>
  <c r="N318" i="4" s="1"/>
  <c r="K306" i="4"/>
  <c r="N306" i="4" s="1"/>
  <c r="K294" i="4"/>
  <c r="N294" i="4" s="1"/>
  <c r="K282" i="4"/>
  <c r="N282" i="4" s="1"/>
  <c r="K270" i="4"/>
  <c r="N270" i="4" s="1"/>
  <c r="K258" i="4"/>
  <c r="N258" i="4" s="1"/>
  <c r="K246" i="4"/>
  <c r="N246" i="4" s="1"/>
  <c r="K234" i="4"/>
  <c r="N234" i="4" s="1"/>
  <c r="K222" i="4"/>
  <c r="N222" i="4" s="1"/>
  <c r="K210" i="4"/>
  <c r="N210" i="4" s="1"/>
  <c r="K198" i="4"/>
  <c r="N198" i="4" s="1"/>
  <c r="K186" i="4"/>
  <c r="N186" i="4" s="1"/>
  <c r="K174" i="4"/>
  <c r="N174" i="4" s="1"/>
  <c r="K162" i="4"/>
  <c r="N162" i="4" s="1"/>
  <c r="K150" i="4"/>
  <c r="N150" i="4" s="1"/>
  <c r="K138" i="4"/>
  <c r="N138" i="4" s="1"/>
  <c r="K126" i="4"/>
  <c r="N126" i="4" s="1"/>
  <c r="K114" i="4"/>
  <c r="N114" i="4" s="1"/>
  <c r="K102" i="4"/>
  <c r="N102" i="4" s="1"/>
  <c r="K90" i="4"/>
  <c r="N90" i="4" s="1"/>
  <c r="K78" i="4"/>
  <c r="N78" i="4" s="1"/>
  <c r="K66" i="4"/>
  <c r="N66" i="4" s="1"/>
  <c r="K54" i="4"/>
  <c r="N54" i="4" s="1"/>
  <c r="K42" i="4"/>
  <c r="N42" i="4" s="1"/>
  <c r="K30" i="4"/>
  <c r="N30" i="4" s="1"/>
  <c r="K18" i="4"/>
  <c r="N18" i="4" s="1"/>
  <c r="K6" i="4"/>
  <c r="N6" i="4" s="1"/>
  <c r="K541" i="4"/>
  <c r="N541" i="4" s="1"/>
  <c r="K493" i="4"/>
  <c r="N493" i="4" s="1"/>
  <c r="K445" i="4"/>
  <c r="N445" i="4" s="1"/>
  <c r="K569" i="4"/>
  <c r="N569" i="4" s="1"/>
  <c r="K557" i="4"/>
  <c r="N557" i="4" s="1"/>
  <c r="K545" i="4"/>
  <c r="N545" i="4" s="1"/>
  <c r="K533" i="4"/>
  <c r="N533" i="4" s="1"/>
  <c r="K521" i="4"/>
  <c r="N521" i="4" s="1"/>
  <c r="K509" i="4"/>
  <c r="N509" i="4" s="1"/>
  <c r="K497" i="4"/>
  <c r="N497" i="4" s="1"/>
  <c r="K485" i="4"/>
  <c r="N485" i="4" s="1"/>
  <c r="K473" i="4"/>
  <c r="N473" i="4" s="1"/>
  <c r="K461" i="4"/>
  <c r="N461" i="4" s="1"/>
  <c r="K449" i="4"/>
  <c r="N449" i="4" s="1"/>
  <c r="K437" i="4"/>
  <c r="N437" i="4" s="1"/>
  <c r="K425" i="4"/>
  <c r="N425" i="4" s="1"/>
  <c r="K413" i="4"/>
  <c r="N413" i="4" s="1"/>
  <c r="K401" i="4"/>
  <c r="N401" i="4" s="1"/>
  <c r="K389" i="4"/>
  <c r="N389" i="4" s="1"/>
  <c r="K377" i="4"/>
  <c r="N377" i="4" s="1"/>
  <c r="K365" i="4"/>
  <c r="N365" i="4" s="1"/>
  <c r="K353" i="4"/>
  <c r="N353" i="4" s="1"/>
  <c r="K341" i="4"/>
  <c r="N341" i="4" s="1"/>
  <c r="K329" i="4"/>
  <c r="N329" i="4" s="1"/>
  <c r="K317" i="4"/>
  <c r="N317" i="4" s="1"/>
  <c r="K305" i="4"/>
  <c r="N305" i="4" s="1"/>
  <c r="K293" i="4"/>
  <c r="N293" i="4" s="1"/>
  <c r="K281" i="4"/>
  <c r="N281" i="4" s="1"/>
  <c r="K269" i="4"/>
  <c r="N269" i="4" s="1"/>
  <c r="K257" i="4"/>
  <c r="N257" i="4" s="1"/>
  <c r="K245" i="4"/>
  <c r="N245" i="4" s="1"/>
  <c r="K233" i="4"/>
  <c r="N233" i="4" s="1"/>
  <c r="K221" i="4"/>
  <c r="N221" i="4" s="1"/>
  <c r="K209" i="4"/>
  <c r="N209" i="4" s="1"/>
  <c r="K197" i="4"/>
  <c r="N197" i="4" s="1"/>
  <c r="K185" i="4"/>
  <c r="N185" i="4" s="1"/>
  <c r="K173" i="4"/>
  <c r="N173" i="4" s="1"/>
  <c r="K161" i="4"/>
  <c r="N161" i="4" s="1"/>
  <c r="K149" i="4"/>
  <c r="N149" i="4" s="1"/>
  <c r="K137" i="4"/>
  <c r="N137" i="4" s="1"/>
  <c r="K125" i="4"/>
  <c r="N125" i="4" s="1"/>
  <c r="K113" i="4"/>
  <c r="N113" i="4" s="1"/>
  <c r="K101" i="4"/>
  <c r="N101" i="4" s="1"/>
  <c r="K89" i="4"/>
  <c r="N89" i="4" s="1"/>
  <c r="K77" i="4"/>
  <c r="N77" i="4" s="1"/>
  <c r="K65" i="4"/>
  <c r="N65" i="4" s="1"/>
  <c r="K53" i="4"/>
  <c r="N53" i="4" s="1"/>
  <c r="K41" i="4"/>
  <c r="N41" i="4" s="1"/>
  <c r="K29" i="4"/>
  <c r="N29" i="4" s="1"/>
  <c r="K17" i="4"/>
  <c r="N17" i="4" s="1"/>
  <c r="K5" i="4"/>
  <c r="N5" i="4" s="1"/>
  <c r="K536" i="4"/>
  <c r="N536" i="4" s="1"/>
  <c r="K488" i="4"/>
  <c r="N488" i="4" s="1"/>
  <c r="K440" i="4"/>
  <c r="N440" i="4" s="1"/>
  <c r="N409" i="4"/>
  <c r="N385" i="4"/>
  <c r="N373" i="4"/>
  <c r="N361" i="4"/>
  <c r="N349" i="4"/>
  <c r="N337" i="4"/>
  <c r="N325" i="4"/>
  <c r="N313" i="4"/>
  <c r="N301" i="4"/>
  <c r="N289" i="4"/>
  <c r="N277" i="4"/>
  <c r="N265" i="4"/>
  <c r="N253" i="4"/>
  <c r="N241" i="4"/>
  <c r="N229" i="4"/>
  <c r="N217" i="4"/>
  <c r="N205" i="4"/>
  <c r="N193" i="4"/>
  <c r="N181" i="4"/>
  <c r="N169" i="4"/>
  <c r="N157" i="4"/>
  <c r="N145" i="4"/>
  <c r="N133" i="4"/>
  <c r="N121" i="4"/>
  <c r="N109" i="4"/>
  <c r="N97" i="4"/>
  <c r="N85" i="4"/>
  <c r="N73" i="4"/>
  <c r="N61" i="4"/>
  <c r="N49" i="4"/>
  <c r="N37" i="4"/>
  <c r="N25" i="4"/>
  <c r="N13" i="4"/>
  <c r="N419" i="4"/>
  <c r="N407" i="4"/>
  <c r="N395" i="4"/>
  <c r="N383" i="4"/>
  <c r="N371" i="4"/>
  <c r="N359" i="4"/>
  <c r="N347" i="4"/>
  <c r="N335" i="4"/>
  <c r="N323" i="4"/>
  <c r="N311" i="4"/>
  <c r="N299" i="4"/>
  <c r="N287" i="4"/>
  <c r="N275" i="4"/>
  <c r="N263" i="4"/>
  <c r="N251" i="4"/>
  <c r="N239" i="4"/>
  <c r="N227" i="4"/>
  <c r="N215" i="4"/>
  <c r="N203" i="4"/>
  <c r="N191" i="4"/>
  <c r="N179" i="4"/>
  <c r="N167" i="4"/>
  <c r="N155" i="4"/>
  <c r="N143" i="4"/>
  <c r="N131" i="4"/>
  <c r="N119" i="4"/>
  <c r="N107" i="4"/>
  <c r="N95" i="4"/>
  <c r="N83" i="4"/>
  <c r="N71" i="4"/>
  <c r="N59" i="4"/>
  <c r="N47" i="4"/>
  <c r="N35" i="4"/>
  <c r="N23" i="4"/>
  <c r="N11" i="4"/>
  <c r="N442" i="4"/>
  <c r="N430" i="4"/>
  <c r="N418" i="4"/>
  <c r="N406" i="4"/>
  <c r="N394" i="4"/>
  <c r="N382" i="4"/>
  <c r="N370" i="4"/>
  <c r="N358" i="4"/>
  <c r="N346" i="4"/>
  <c r="N334" i="4"/>
  <c r="N322" i="4"/>
  <c r="N310" i="4"/>
  <c r="N298" i="4"/>
  <c r="N286" i="4"/>
  <c r="N274" i="4"/>
  <c r="N262" i="4"/>
  <c r="N250" i="4"/>
  <c r="N238" i="4"/>
  <c r="N226" i="4"/>
  <c r="N214" i="4"/>
  <c r="N202" i="4"/>
  <c r="N190" i="4"/>
  <c r="N178" i="4"/>
  <c r="N166" i="4"/>
  <c r="N154" i="4"/>
  <c r="N142" i="4"/>
  <c r="N130" i="4"/>
  <c r="N118" i="4"/>
  <c r="N106" i="4"/>
  <c r="N94" i="4"/>
  <c r="N82" i="4"/>
  <c r="N70" i="4"/>
  <c r="N58" i="4"/>
  <c r="N46" i="4"/>
  <c r="N34" i="4"/>
  <c r="N22" i="4"/>
  <c r="N10" i="4"/>
  <c r="N441" i="4"/>
  <c r="N429" i="4"/>
  <c r="N417" i="4"/>
  <c r="N405" i="4"/>
  <c r="N393" i="4"/>
  <c r="N381" i="4"/>
  <c r="N369" i="4"/>
  <c r="N357" i="4"/>
  <c r="N345" i="4"/>
  <c r="N333" i="4"/>
  <c r="N321" i="4"/>
  <c r="N309" i="4"/>
  <c r="N297" i="4"/>
  <c r="N285" i="4"/>
  <c r="N273" i="4"/>
  <c r="N261" i="4"/>
  <c r="N249" i="4"/>
  <c r="N237" i="4"/>
  <c r="N225" i="4"/>
  <c r="N213" i="4"/>
  <c r="N201" i="4"/>
  <c r="N189" i="4"/>
  <c r="N177" i="4"/>
  <c r="N165" i="4"/>
  <c r="N153" i="4"/>
  <c r="N141" i="4"/>
  <c r="N129" i="4"/>
  <c r="N117" i="4"/>
  <c r="N105" i="4"/>
  <c r="N93" i="4"/>
  <c r="N81" i="4"/>
  <c r="N69" i="4"/>
  <c r="N57" i="4"/>
  <c r="N45" i="4"/>
  <c r="N33" i="4"/>
  <c r="N21" i="4"/>
  <c r="N9" i="4"/>
  <c r="N404" i="4"/>
  <c r="N392" i="4"/>
  <c r="N380" i="4"/>
  <c r="N368" i="4"/>
  <c r="N356" i="4"/>
  <c r="N344" i="4"/>
  <c r="N332" i="4"/>
  <c r="N320" i="4"/>
  <c r="N308" i="4"/>
  <c r="N296" i="4"/>
  <c r="N284" i="4"/>
  <c r="N272" i="4"/>
  <c r="N260" i="4"/>
  <c r="N248" i="4"/>
  <c r="N236" i="4"/>
  <c r="N224" i="4"/>
  <c r="N212" i="4"/>
  <c r="N200" i="4"/>
  <c r="N188" i="4"/>
  <c r="N176" i="4"/>
  <c r="N164" i="4"/>
  <c r="N152" i="4"/>
  <c r="N140" i="4"/>
  <c r="N128" i="4"/>
  <c r="N116" i="4"/>
  <c r="N104" i="4"/>
  <c r="N92" i="4"/>
  <c r="N80" i="4"/>
  <c r="N68" i="4"/>
  <c r="N56" i="4"/>
  <c r="N44" i="4"/>
  <c r="N32" i="4"/>
  <c r="N20" i="4"/>
  <c r="N8" i="4"/>
  <c r="K124" i="4"/>
  <c r="N124" i="4" s="1"/>
  <c r="K112" i="4"/>
  <c r="N112" i="4" s="1"/>
  <c r="K100" i="4"/>
  <c r="N100" i="4" s="1"/>
  <c r="K88" i="4"/>
  <c r="N88" i="4" s="1"/>
  <c r="K76" i="4"/>
  <c r="N76" i="4" s="1"/>
  <c r="K64" i="4"/>
  <c r="N64" i="4" s="1"/>
  <c r="K52" i="4"/>
  <c r="N52" i="4" s="1"/>
  <c r="K40" i="4"/>
  <c r="N40" i="4" s="1"/>
  <c r="K28" i="4"/>
  <c r="N28" i="4" s="1"/>
  <c r="K16" i="4"/>
  <c r="N16" i="4" s="1"/>
  <c r="K4" i="4"/>
  <c r="N4" i="4" s="1"/>
  <c r="N403" i="4"/>
  <c r="N391" i="4"/>
  <c r="N379" i="4"/>
  <c r="N367" i="4"/>
  <c r="N355" i="4"/>
  <c r="N343" i="4"/>
  <c r="N331" i="4"/>
  <c r="N319" i="4"/>
  <c r="N307" i="4"/>
  <c r="N295" i="4"/>
  <c r="N283" i="4"/>
  <c r="N271" i="4"/>
  <c r="N259" i="4"/>
  <c r="N247" i="4"/>
  <c r="N235" i="4"/>
  <c r="N223" i="4"/>
  <c r="N211" i="4"/>
  <c r="N199" i="4"/>
  <c r="N187" i="4"/>
  <c r="N175" i="4"/>
  <c r="N163" i="4"/>
  <c r="N151" i="4"/>
  <c r="N139" i="4"/>
  <c r="N127" i="4"/>
  <c r="N115" i="4"/>
  <c r="N103" i="4"/>
  <c r="N91" i="4"/>
  <c r="N79" i="4"/>
  <c r="N67" i="4"/>
  <c r="N55" i="4"/>
  <c r="N43" i="4"/>
  <c r="N31" i="4"/>
  <c r="N19" i="4"/>
  <c r="N7" i="4"/>
  <c r="K411" i="4"/>
  <c r="N411" i="4" s="1"/>
  <c r="K399" i="4"/>
  <c r="N399" i="4" s="1"/>
  <c r="K387" i="4"/>
  <c r="N387" i="4" s="1"/>
  <c r="K375" i="4"/>
  <c r="N375" i="4" s="1"/>
  <c r="K363" i="4"/>
  <c r="N363" i="4" s="1"/>
  <c r="K351" i="4"/>
  <c r="N351" i="4" s="1"/>
  <c r="K339" i="4"/>
  <c r="N339" i="4" s="1"/>
  <c r="K327" i="4"/>
  <c r="N327" i="4" s="1"/>
  <c r="K315" i="4"/>
  <c r="N315" i="4" s="1"/>
  <c r="K303" i="4"/>
  <c r="N303" i="4" s="1"/>
  <c r="K291" i="4"/>
  <c r="N291" i="4" s="1"/>
  <c r="K279" i="4"/>
  <c r="N279" i="4" s="1"/>
  <c r="K267" i="4"/>
  <c r="N267" i="4" s="1"/>
  <c r="K255" i="4"/>
  <c r="N255" i="4" s="1"/>
  <c r="K243" i="4"/>
  <c r="N243" i="4" s="1"/>
  <c r="K231" i="4"/>
  <c r="N231" i="4" s="1"/>
  <c r="K219" i="4"/>
  <c r="N219" i="4" s="1"/>
  <c r="K207" i="4"/>
  <c r="N207" i="4" s="1"/>
  <c r="K195" i="4"/>
  <c r="N195" i="4" s="1"/>
  <c r="K183" i="4"/>
  <c r="N183" i="4" s="1"/>
  <c r="K171" i="4"/>
  <c r="N171" i="4" s="1"/>
  <c r="K159" i="4"/>
  <c r="N159" i="4" s="1"/>
  <c r="K147" i="4"/>
  <c r="N147" i="4" s="1"/>
  <c r="K135" i="4"/>
  <c r="N135" i="4" s="1"/>
  <c r="K123" i="4"/>
  <c r="N123" i="4" s="1"/>
  <c r="K111" i="4"/>
  <c r="N111" i="4" s="1"/>
  <c r="K99" i="4"/>
  <c r="N99" i="4" s="1"/>
  <c r="K87" i="4"/>
  <c r="N87" i="4" s="1"/>
  <c r="K75" i="4"/>
  <c r="N75" i="4" s="1"/>
  <c r="K63" i="4"/>
  <c r="N63" i="4" s="1"/>
  <c r="K51" i="4"/>
  <c r="N51" i="4" s="1"/>
  <c r="K39" i="4"/>
  <c r="N39" i="4" s="1"/>
  <c r="K27" i="4"/>
  <c r="N27" i="4" s="1"/>
  <c r="K15" i="4"/>
  <c r="N15" i="4" s="1"/>
  <c r="K3" i="4"/>
  <c r="N3" i="4" s="1"/>
  <c r="N566" i="4"/>
  <c r="N554" i="4"/>
  <c r="N542" i="4"/>
  <c r="N530" i="4"/>
  <c r="N518" i="4"/>
  <c r="N506" i="4"/>
  <c r="N494" i="4"/>
  <c r="N482" i="4"/>
  <c r="N470" i="4"/>
  <c r="N458" i="4"/>
  <c r="N446" i="4"/>
  <c r="N434" i="4"/>
  <c r="N422" i="4"/>
  <c r="N410" i="4"/>
  <c r="N398" i="4"/>
  <c r="N386" i="4"/>
  <c r="N374" i="4"/>
  <c r="N362" i="4"/>
  <c r="N350" i="4"/>
  <c r="N338" i="4"/>
  <c r="N326" i="4"/>
  <c r="N314" i="4"/>
  <c r="N302" i="4"/>
  <c r="N290" i="4"/>
  <c r="N278" i="4"/>
  <c r="N266" i="4"/>
  <c r="N254" i="4"/>
  <c r="N242" i="4"/>
  <c r="N230" i="4"/>
  <c r="N218" i="4"/>
  <c r="N206" i="4"/>
  <c r="N194" i="4"/>
  <c r="N182" i="4"/>
  <c r="N170" i="4"/>
  <c r="N158" i="4"/>
  <c r="N146" i="4"/>
  <c r="N134" i="4"/>
  <c r="N122" i="4"/>
  <c r="N110" i="4"/>
  <c r="N98" i="4"/>
  <c r="N86" i="4"/>
  <c r="N74" i="4"/>
  <c r="N62" i="4"/>
  <c r="N50" i="4"/>
  <c r="N38" i="4"/>
  <c r="N26" i="4"/>
  <c r="N1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3AB23-5454-41C6-8013-177CC508DD11}" keepAlive="1" name="Consulta - TabelaVendas1 (2)" description="Conexão com a consulta 'TabelaVendas1 (2)' na pasta de trabalho." type="5" refreshedVersion="8" background="1" saveData="1">
    <dbPr connection="Provider=Microsoft.Mashup.OleDb.1;Data Source=$Workbook$;Location=&quot;TabelaVendas1 (2)&quot;;Extended Properties=&quot;&quot;" command="SELECT * FROM [TabelaVendas1 (2)]"/>
  </connection>
</connections>
</file>

<file path=xl/sharedStrings.xml><?xml version="1.0" encoding="utf-8"?>
<sst xmlns="http://schemas.openxmlformats.org/spreadsheetml/2006/main" count="3441" uniqueCount="332">
  <si>
    <t>Produto</t>
  </si>
  <si>
    <t>Material</t>
  </si>
  <si>
    <t>Pureza</t>
  </si>
  <si>
    <t>Categoria</t>
  </si>
  <si>
    <t>Data</t>
  </si>
  <si>
    <t>Forma_de_Pagamento</t>
  </si>
  <si>
    <t>Vendedor</t>
  </si>
  <si>
    <t>Quantidade</t>
  </si>
  <si>
    <t>Valor_Unitario</t>
  </si>
  <si>
    <t>Percentual_Lucro</t>
  </si>
  <si>
    <t>Valor_Lucro</t>
  </si>
  <si>
    <t>Valor_Total</t>
  </si>
  <si>
    <t>Valor_UnitarioXQtd</t>
  </si>
  <si>
    <t>Valor_Venda</t>
  </si>
  <si>
    <t>Link</t>
  </si>
  <si>
    <t xml:space="preserve">CORDÃO GROSSO </t>
  </si>
  <si>
    <t xml:space="preserve"> PRATA</t>
  </si>
  <si>
    <t>Não Informado</t>
  </si>
  <si>
    <t>Cordão</t>
  </si>
  <si>
    <t>Cartão de Débito</t>
  </si>
  <si>
    <t>https://i.ibb.co/7xPBffvg/Cord-o.png</t>
  </si>
  <si>
    <t>BRACELETE DE COURO COM OURO</t>
  </si>
  <si>
    <t xml:space="preserve"> OURO </t>
  </si>
  <si>
    <t xml:space="preserve"> 18K</t>
  </si>
  <si>
    <t>Bracelete</t>
  </si>
  <si>
    <t>https://i.ibb.co/cXDYTcVZ/Bracelete.png</t>
  </si>
  <si>
    <t xml:space="preserve">CORDÃO DE CADEADO MEDIO </t>
  </si>
  <si>
    <t>Cartão de Crédito</t>
  </si>
  <si>
    <t xml:space="preserve">PINGENTE DE CRISTO REDENTOR </t>
  </si>
  <si>
    <t>Pingente</t>
  </si>
  <si>
    <t>Dinheiro/PIX</t>
  </si>
  <si>
    <t>https://i.ibb.co/Txp3DYjx/Pingente-de-S-o-Jorge.png</t>
  </si>
  <si>
    <t xml:space="preserve">PULSEIRA CADEADO MEDIA </t>
  </si>
  <si>
    <t xml:space="preserve"> 10K</t>
  </si>
  <si>
    <t>Pulseira</t>
  </si>
  <si>
    <t>https://i.ibb.co/fV0tzxFK/Pulseira.png</t>
  </si>
  <si>
    <t>COLAR GROSSO</t>
  </si>
  <si>
    <t>Colar</t>
  </si>
  <si>
    <t>https://i.ibb.co/BKSYnNXM/Colar.png</t>
  </si>
  <si>
    <t>COLAR FINO</t>
  </si>
  <si>
    <t>BRACELETE DE CORRENTE</t>
  </si>
  <si>
    <t xml:space="preserve">ANEL DE CORAÇÃO </t>
  </si>
  <si>
    <t>Anel</t>
  </si>
  <si>
    <t>https://i.ibb.co/dwxBS6gB/Anel.png</t>
  </si>
  <si>
    <t xml:space="preserve">ANEL DE CORAÇÃO PENDURADO OU N/ </t>
  </si>
  <si>
    <t xml:space="preserve">ANEL DE CORDÃO </t>
  </si>
  <si>
    <t xml:space="preserve">TERÇO </t>
  </si>
  <si>
    <t>Terço</t>
  </si>
  <si>
    <t>https://i.ibb.co/mFvjYwGq/Ter-o.png</t>
  </si>
  <si>
    <t xml:space="preserve">ANEL COM LETRA </t>
  </si>
  <si>
    <t xml:space="preserve">CORDÃO BATIDO FEMININO </t>
  </si>
  <si>
    <t xml:space="preserve"> OURO BRANCO</t>
  </si>
  <si>
    <t xml:space="preserve">CORDÃO DRUMETE DUPLO </t>
  </si>
  <si>
    <t xml:space="preserve">MEDALHA DE LETRA </t>
  </si>
  <si>
    <t>Medalha</t>
  </si>
  <si>
    <t>https://i.ibb.co/sJ5q4DRf/Medalha-de-Letra.png</t>
  </si>
  <si>
    <t xml:space="preserve">PINGENTE DE LETRA FEMININO </t>
  </si>
  <si>
    <t xml:space="preserve">CORDÃO FEMININO DE ELOS MEDIO </t>
  </si>
  <si>
    <t xml:space="preserve">CORDÃO FRIZO GROSSO </t>
  </si>
  <si>
    <t xml:space="preserve">MEDALHA QUADRADA GRANDE </t>
  </si>
  <si>
    <t xml:space="preserve">PULSEIRA DE ELOS </t>
  </si>
  <si>
    <t xml:space="preserve">TERÇO FINO </t>
  </si>
  <si>
    <t xml:space="preserve">BRACELETE COM PEDRAS </t>
  </si>
  <si>
    <t xml:space="preserve">BRACELETE GROSSO C/ PEDRAS </t>
  </si>
  <si>
    <t xml:space="preserve">CORDÃO ELO COQUEIRO </t>
  </si>
  <si>
    <t xml:space="preserve">MEDALHA DE LETRA PEQUENA </t>
  </si>
  <si>
    <t xml:space="preserve">BRACELETE DE COURO COM </t>
  </si>
  <si>
    <t xml:space="preserve">CORDÃO CADEADO MEDIO </t>
  </si>
  <si>
    <t xml:space="preserve">PINGENTE REDONDO BIBLIA </t>
  </si>
  <si>
    <t xml:space="preserve">PULSEIRA GRUMETE COM NOME </t>
  </si>
  <si>
    <t xml:space="preserve">PULSEIRA GROSSA </t>
  </si>
  <si>
    <t xml:space="preserve">PULSIRA JESUS </t>
  </si>
  <si>
    <t xml:space="preserve">TERÇO MEDIO </t>
  </si>
  <si>
    <t xml:space="preserve">ANEL GRANDE </t>
  </si>
  <si>
    <t xml:space="preserve">ALIANÇA COM NOME </t>
  </si>
  <si>
    <t>Aliança</t>
  </si>
  <si>
    <t>https://i.ibb.co/rKrKDHQv/Alian-a.png</t>
  </si>
  <si>
    <t xml:space="preserve">ANEL ESTRELA DE DAVID </t>
  </si>
  <si>
    <t xml:space="preserve">BRACELETE LISO GROSSO </t>
  </si>
  <si>
    <t xml:space="preserve">CORDÃO BALI MEDIO </t>
  </si>
  <si>
    <t xml:space="preserve">ALIANÇA TRABALHADA MEDIA </t>
  </si>
  <si>
    <t xml:space="preserve">ALIANÇA TRABALHADA </t>
  </si>
  <si>
    <t xml:space="preserve">CORDÃO FRIZO TRIPLO C/ FECHO </t>
  </si>
  <si>
    <t xml:space="preserve">PULSEIRA ELO COQUEIRO FINA </t>
  </si>
  <si>
    <t xml:space="preserve">COLAR </t>
  </si>
  <si>
    <t xml:space="preserve">MEDALHA GRANDE </t>
  </si>
  <si>
    <t xml:space="preserve">CORDÃO DE ELOS </t>
  </si>
  <si>
    <t xml:space="preserve">PINGENTE DE PANTERA </t>
  </si>
  <si>
    <t xml:space="preserve">PULSEIRA DE ELOS MEDIA </t>
  </si>
  <si>
    <t xml:space="preserve">BRACELETE LISO FINO </t>
  </si>
  <si>
    <t xml:space="preserve">MEDALHA PAI NOSSO </t>
  </si>
  <si>
    <t xml:space="preserve">CORDÃO CADEADO </t>
  </si>
  <si>
    <t xml:space="preserve">CORDÃO COM LETRA K </t>
  </si>
  <si>
    <t xml:space="preserve">PULSEIRA CADEADO </t>
  </si>
  <si>
    <t xml:space="preserve">MEDALHA NOSSA SENHORA </t>
  </si>
  <si>
    <t>ANEL FINO</t>
  </si>
  <si>
    <t xml:space="preserve">BRINCO </t>
  </si>
  <si>
    <t>Brinco</t>
  </si>
  <si>
    <t>https://i.ibb.co/sdHXRM0k/Brinco-com-Pedras-Azuis-e-Branca.png</t>
  </si>
  <si>
    <t xml:space="preserve">COLAR GRANDE </t>
  </si>
  <si>
    <t>PINGENTE</t>
  </si>
  <si>
    <t xml:space="preserve">PULSEIRA </t>
  </si>
  <si>
    <t xml:space="preserve">ALIANÇA </t>
  </si>
  <si>
    <t xml:space="preserve">CORDÃO FRIZO DUPLO </t>
  </si>
  <si>
    <t xml:space="preserve">COLAR PEQUENO </t>
  </si>
  <si>
    <t xml:space="preserve">CORDÃO ELO ADRIANO </t>
  </si>
  <si>
    <t xml:space="preserve">BRACELETE COM NOME </t>
  </si>
  <si>
    <t xml:space="preserve">ALIANÇA COM LETRA MEIDIO </t>
  </si>
  <si>
    <t xml:space="preserve">ANEL FURADO </t>
  </si>
  <si>
    <t xml:space="preserve">ANEL QUADRADO </t>
  </si>
  <si>
    <t xml:space="preserve">BRACELETE LACRAIA MEDIO </t>
  </si>
  <si>
    <t xml:space="preserve">CORDÃO CADEADO FEMININO </t>
  </si>
  <si>
    <t xml:space="preserve">CORDÃO CADEADO FINO MASCULINO </t>
  </si>
  <si>
    <t xml:space="preserve">CORDÃO ELO PORTUGUES </t>
  </si>
  <si>
    <t xml:space="preserve">PINGENTE C/ LETRA FEMININO </t>
  </si>
  <si>
    <t xml:space="preserve">PINGENTE C/ LETRA </t>
  </si>
  <si>
    <t xml:space="preserve">PULSEIRA ELO PORTUGUES </t>
  </si>
  <si>
    <t xml:space="preserve">BRINCO COM TRES FLORES </t>
  </si>
  <si>
    <t xml:space="preserve">ANEL COM FIOS </t>
  </si>
  <si>
    <t xml:space="preserve">ANEL CORAÇÃO TRABALHADO </t>
  </si>
  <si>
    <t xml:space="preserve">ARGOLA </t>
  </si>
  <si>
    <t>Argola</t>
  </si>
  <si>
    <t>https://i.ibb.co/pvy4pQ2x/Argola.png</t>
  </si>
  <si>
    <t xml:space="preserve">BRINCO COM BRILHANTES </t>
  </si>
  <si>
    <t xml:space="preserve">CORDÃO DE ELOS JUNTO </t>
  </si>
  <si>
    <t xml:space="preserve">CRUCIFIXO COM PEDRAS </t>
  </si>
  <si>
    <t>Crucifixo</t>
  </si>
  <si>
    <t>https://i.ibb.co/d44wqwyS/Crucifixo.png</t>
  </si>
  <si>
    <t xml:space="preserve">PINGENTE DE CORAÇÃO COM BRILHO </t>
  </si>
  <si>
    <t xml:space="preserve">PULSEIRA DE BOLAS C\ N.SENHORA </t>
  </si>
  <si>
    <t xml:space="preserve">PULSEIRA DE ELO C\ BRILHANTE </t>
  </si>
  <si>
    <t xml:space="preserve">CORDÃO DE BALI </t>
  </si>
  <si>
    <t xml:space="preserve">PULSEIRA FRIZO TRIPLO </t>
  </si>
  <si>
    <t xml:space="preserve">CORDÃO C/2 PING. DE BOMBA </t>
  </si>
  <si>
    <t xml:space="preserve">ANEL NOSSA SENHORA </t>
  </si>
  <si>
    <t xml:space="preserve">ANEL DE ESTRELA </t>
  </si>
  <si>
    <t xml:space="preserve">ARGOLA MEDIA </t>
  </si>
  <si>
    <t xml:space="preserve">BRACELETE FINO </t>
  </si>
  <si>
    <t xml:space="preserve">CORDÃO COM PINGENTE CORAÇÃO </t>
  </si>
  <si>
    <t xml:space="preserve">CORDÃO CORDA </t>
  </si>
  <si>
    <t xml:space="preserve">PINGENTE LETRA A </t>
  </si>
  <si>
    <t xml:space="preserve">PINGENTE LOVE </t>
  </si>
  <si>
    <t xml:space="preserve">PINGENTE DE CORAÇÃO </t>
  </si>
  <si>
    <t xml:space="preserve">PINGENTE DE S.JORE </t>
  </si>
  <si>
    <t xml:space="preserve">CRUCIFIXO </t>
  </si>
  <si>
    <t xml:space="preserve">ESCAPULARIO </t>
  </si>
  <si>
    <t>Escapulário</t>
  </si>
  <si>
    <t>https://i.ibb.co/pDqp3Qn/Escapul-rio.png</t>
  </si>
  <si>
    <t xml:space="preserve">PULSEIRA FRIZO DUPLO </t>
  </si>
  <si>
    <t xml:space="preserve">PULSEIRA GRUMETE </t>
  </si>
  <si>
    <t xml:space="preserve">ARGOLA MEDIA C/ PEDRAS </t>
  </si>
  <si>
    <t xml:space="preserve">ARGOLA PEQUENA C/PEDRA </t>
  </si>
  <si>
    <t xml:space="preserve">PULSEIRA C/ PINGENTES </t>
  </si>
  <si>
    <t xml:space="preserve">ANEL CRUCIFIXO </t>
  </si>
  <si>
    <t xml:space="preserve">ANEL TRABALHADO </t>
  </si>
  <si>
    <t xml:space="preserve">BRINCO DE BOLINHA TRABALHADO </t>
  </si>
  <si>
    <t xml:space="preserve">BRINCO DE CORAÇÕES </t>
  </si>
  <si>
    <t xml:space="preserve">CORDÃO VENEZIANO 60CM </t>
  </si>
  <si>
    <t xml:space="preserve">CORDÃO VENEZIANO </t>
  </si>
  <si>
    <t xml:space="preserve">PULSEIRA TRABALHADA </t>
  </si>
  <si>
    <t xml:space="preserve">ARGOLA CORAÇÃO </t>
  </si>
  <si>
    <t xml:space="preserve">PINGENTE REDONDO DEUS </t>
  </si>
  <si>
    <t xml:space="preserve">PULSEIRA DE ELOS COM CORAÇÃO </t>
  </si>
  <si>
    <t xml:space="preserve">MEDALHA GRANDE DE </t>
  </si>
  <si>
    <t xml:space="preserve">MEDALHA DE SÃO JORGE </t>
  </si>
  <si>
    <t xml:space="preserve">PINGENTE COM NOMES </t>
  </si>
  <si>
    <t xml:space="preserve">CORDÃO OLHO DE GATO </t>
  </si>
  <si>
    <t xml:space="preserve">PINGENTE DE LETRA </t>
  </si>
  <si>
    <t xml:space="preserve">PINGENTE NOSSA SENHORA </t>
  </si>
  <si>
    <t xml:space="preserve">BRACELETE </t>
  </si>
  <si>
    <t xml:space="preserve">ANEL DE LETRA </t>
  </si>
  <si>
    <t xml:space="preserve">CORDÃO AMOR </t>
  </si>
  <si>
    <t xml:space="preserve">CORDÃO DE PEDRINHAS </t>
  </si>
  <si>
    <t xml:space="preserve">PINGENTE DE MANDALA </t>
  </si>
  <si>
    <t xml:space="preserve">PULSEIRA CHAPINHA </t>
  </si>
  <si>
    <t xml:space="preserve">PULSEIRA C/ PINGENTE CORAÇÃO </t>
  </si>
  <si>
    <t xml:space="preserve">PULSEIRA DE PEDRINHAS </t>
  </si>
  <si>
    <t xml:space="preserve">ALIANÇA COM PEDRAS </t>
  </si>
  <si>
    <t xml:space="preserve">ANEL COM FILETES </t>
  </si>
  <si>
    <t xml:space="preserve">ANEL DE LAÇO </t>
  </si>
  <si>
    <t xml:space="preserve">BRINCO CORAÇÃO COM PEDRA </t>
  </si>
  <si>
    <t xml:space="preserve">PULSEIRA CORDA </t>
  </si>
  <si>
    <t xml:space="preserve">CORDÃO GRUMETE </t>
  </si>
  <si>
    <t xml:space="preserve">MEDALHA DE SÃO BENTO </t>
  </si>
  <si>
    <t xml:space="preserve">ALIANÇA SEM PEDRA </t>
  </si>
  <si>
    <t xml:space="preserve">ANEL DE FERRADURA </t>
  </si>
  <si>
    <t xml:space="preserve">ANEL FEMININO </t>
  </si>
  <si>
    <t xml:space="preserve">BRINCO DE CRIANÇA </t>
  </si>
  <si>
    <t xml:space="preserve">PINGENTE FACE DE CRISTO </t>
  </si>
  <si>
    <t xml:space="preserve">BRACELETE DE BARALHO </t>
  </si>
  <si>
    <t xml:space="preserve">CORDÃO ELO ESCRAVO </t>
  </si>
  <si>
    <t xml:space="preserve">ESCAPULARIO C/ LETRAS S/B </t>
  </si>
  <si>
    <t xml:space="preserve">ANEL DE LETRA C/ESCUDO DE TIGRE </t>
  </si>
  <si>
    <t xml:space="preserve">CORDÃO COM PINGENTE PANTERA </t>
  </si>
  <si>
    <t xml:space="preserve">PINGENTE ESTRELA DE DAVI </t>
  </si>
  <si>
    <t xml:space="preserve">PULSEIR ELO ADRIANO </t>
  </si>
  <si>
    <t xml:space="preserve">ANEL QUADRADINHO </t>
  </si>
  <si>
    <t xml:space="preserve">ANEL TUBARAO </t>
  </si>
  <si>
    <t xml:space="preserve">ARGOLA PEQUENA </t>
  </si>
  <si>
    <t xml:space="preserve">CRUCIFIXO PEQUENO </t>
  </si>
  <si>
    <t xml:space="preserve">PINGENTE AMOR </t>
  </si>
  <si>
    <t xml:space="preserve">PULSEIRA FE </t>
  </si>
  <si>
    <t xml:space="preserve">PULSEIRA INFANTIL </t>
  </si>
  <si>
    <t xml:space="preserve">CORDÃO FITA </t>
  </si>
  <si>
    <t xml:space="preserve">CORDÃO FRIZO COM S </t>
  </si>
  <si>
    <t xml:space="preserve">ESCAPULARIO FE </t>
  </si>
  <si>
    <t xml:space="preserve">CORDÃO CADEADINHO </t>
  </si>
  <si>
    <t xml:space="preserve">PULSEIRA GRUMETE DUPLO </t>
  </si>
  <si>
    <t xml:space="preserve">BRACELETE ONDULADO </t>
  </si>
  <si>
    <t xml:space="preserve">BRACELETE PARAFUSO </t>
  </si>
  <si>
    <t xml:space="preserve">BRACELETE PREGO </t>
  </si>
  <si>
    <t xml:space="preserve">CRUCIFIXO C/FACE DE CRISTO </t>
  </si>
  <si>
    <t xml:space="preserve">MEDALHA FARAO </t>
  </si>
  <si>
    <t xml:space="preserve">ANEL COM BRILHANTES </t>
  </si>
  <si>
    <t xml:space="preserve">BRACELETE COM LETRAS </t>
  </si>
  <si>
    <t xml:space="preserve">MEDALHA PEQUENA DE SÃO BENTO </t>
  </si>
  <si>
    <t xml:space="preserve">ANEL CORAÇÃO PEDRA PRETA </t>
  </si>
  <si>
    <t xml:space="preserve">BRACELETE FEMININO C/ PEDRAS </t>
  </si>
  <si>
    <t xml:space="preserve">ANEL C/ LETRAS MASCULINO </t>
  </si>
  <si>
    <t xml:space="preserve">ANEL CHUVEIRINHO C/BRILHANTE </t>
  </si>
  <si>
    <t xml:space="preserve">ANEL MASCULINO </t>
  </si>
  <si>
    <t xml:space="preserve">ARGOLA GROSSA C/PEDRA </t>
  </si>
  <si>
    <t xml:space="preserve">CORDÃO RABO DE RATO </t>
  </si>
  <si>
    <t xml:space="preserve">MEDALHA DE LETRA C  </t>
  </si>
  <si>
    <t xml:space="preserve">MEDALHA FERRADURA </t>
  </si>
  <si>
    <t xml:space="preserve">CORDÃO CADEADO FINO </t>
  </si>
  <si>
    <t xml:space="preserve">BRACELETE PREGO C/ PEDRAS </t>
  </si>
  <si>
    <t xml:space="preserve">PULSEIRA C/ DIAMANTES </t>
  </si>
  <si>
    <t xml:space="preserve">CRUCIFIXO GRANDE </t>
  </si>
  <si>
    <t xml:space="preserve">ANEL CORAÇÃO VAZADO </t>
  </si>
  <si>
    <t xml:space="preserve">ANEL PAI NOSSO </t>
  </si>
  <si>
    <t xml:space="preserve">ARGOLA C/ BORBOLETAS </t>
  </si>
  <si>
    <t xml:space="preserve">ARGOLA GROSSA </t>
  </si>
  <si>
    <t xml:space="preserve">BRINCO CORAÇÃO </t>
  </si>
  <si>
    <t xml:space="preserve">BRINCO DE LAÇO </t>
  </si>
  <si>
    <t xml:space="preserve">BRINCO DE PEDRINHA </t>
  </si>
  <si>
    <t xml:space="preserve">CORDÃO INFINITO </t>
  </si>
  <si>
    <t xml:space="preserve">CORDÃO QUADRADINHO </t>
  </si>
  <si>
    <t xml:space="preserve">MEDALHA ESCUDO DO FLUMINENSE </t>
  </si>
  <si>
    <t xml:space="preserve">MEDALHA ESTRELA DE DAVI </t>
  </si>
  <si>
    <t xml:space="preserve">PAR DE ALIANÇA </t>
  </si>
  <si>
    <t xml:space="preserve">MEDALHA SAO BENTO </t>
  </si>
  <si>
    <t xml:space="preserve">PAR DE ALIANÇA MEDIA </t>
  </si>
  <si>
    <t xml:space="preserve">PIGENTE LETRA B </t>
  </si>
  <si>
    <t xml:space="preserve">PINGENTE PANTERA </t>
  </si>
  <si>
    <t xml:space="preserve">BRACELETE PARAFUSO ROSE </t>
  </si>
  <si>
    <t xml:space="preserve">CRUCIFIXO C/ FÉ </t>
  </si>
  <si>
    <t xml:space="preserve">MEDALHA SÃO JORGE </t>
  </si>
  <si>
    <t xml:space="preserve">BRINCO C/ PEDRAS AZUL E BRANCO </t>
  </si>
  <si>
    <t xml:space="preserve">CORDÃO TRAÇADO </t>
  </si>
  <si>
    <t xml:space="preserve">CRUCIFIXO C/ PEDRAS </t>
  </si>
  <si>
    <t xml:space="preserve">MEDALHA S.JORGE GRANDE </t>
  </si>
  <si>
    <t xml:space="preserve">CORDÃO 60CM </t>
  </si>
  <si>
    <t xml:space="preserve"> PRATA </t>
  </si>
  <si>
    <t xml:space="preserve">MEDALHA S.JORGE PEQUENA </t>
  </si>
  <si>
    <t xml:space="preserve">PULSEIRA GORSSA FRIZO DUPLO </t>
  </si>
  <si>
    <t xml:space="preserve">PULSEIRA ELO COQUEIRO </t>
  </si>
  <si>
    <t xml:space="preserve">ANEL CHUVEIRINHO </t>
  </si>
  <si>
    <t xml:space="preserve">ANEL COM 4 CORAÇÕES </t>
  </si>
  <si>
    <t xml:space="preserve">PULSEIRA 3 CORES </t>
  </si>
  <si>
    <t xml:space="preserve">BRACELETE PARAFUSO C/CHAVE </t>
  </si>
  <si>
    <t xml:space="preserve">CORDÃO FRIZO </t>
  </si>
  <si>
    <t xml:space="preserve">PINGENTE LETRA L </t>
  </si>
  <si>
    <t xml:space="preserve">ANEL SOLITÁRIO </t>
  </si>
  <si>
    <t xml:space="preserve">PINGENTE OLHO GREGO </t>
  </si>
  <si>
    <t xml:space="preserve">PULSEIRA DE FIOS FINA </t>
  </si>
  <si>
    <t xml:space="preserve">PULSEIRA DE FIOS GROSSA </t>
  </si>
  <si>
    <t xml:space="preserve">ANEL C\ CORAÇÕES </t>
  </si>
  <si>
    <t xml:space="preserve">ESCAPULARIO DE LETRA </t>
  </si>
  <si>
    <t xml:space="preserve">ESCAPULARIO C/ SALMO 91 </t>
  </si>
  <si>
    <t xml:space="preserve">ANEL LETRA D </t>
  </si>
  <si>
    <t xml:space="preserve">BRACELETE MEIA CANA </t>
  </si>
  <si>
    <t xml:space="preserve">BRACELETE RETO </t>
  </si>
  <si>
    <t xml:space="preserve">ANEL PREGO C/ PEDRAS </t>
  </si>
  <si>
    <t xml:space="preserve">CORDÃO ELO PORTUGUES FINO </t>
  </si>
  <si>
    <t xml:space="preserve">CORDÃO GRATIDÃO </t>
  </si>
  <si>
    <t xml:space="preserve">PINGENTE COROA </t>
  </si>
  <si>
    <t xml:space="preserve">PINGENTE FLAMENGO </t>
  </si>
  <si>
    <t xml:space="preserve">PINGENTE LETRA S </t>
  </si>
  <si>
    <t xml:space="preserve">PULSEIRA TORCIDA </t>
  </si>
  <si>
    <t xml:space="preserve">PINGENTE LETRA B MÃO </t>
  </si>
  <si>
    <t xml:space="preserve">PINGENTE PANTERA C/ PEDRA BRANCA </t>
  </si>
  <si>
    <t xml:space="preserve">ANEL CORAÇÃO </t>
  </si>
  <si>
    <t xml:space="preserve"> OURO ROSE</t>
  </si>
  <si>
    <t xml:space="preserve">ANEL SÃO JORGE </t>
  </si>
  <si>
    <t xml:space="preserve">BRACELETE BOLEADO </t>
  </si>
  <si>
    <t xml:space="preserve">MEDALHA PANTERA </t>
  </si>
  <si>
    <t xml:space="preserve">BRACELETE CINTO </t>
  </si>
  <si>
    <t xml:space="preserve">PULSEIRA LACRAIA </t>
  </si>
  <si>
    <t xml:space="preserve">ARGOLA LISA </t>
  </si>
  <si>
    <t xml:space="preserve">PULSEIRA ELO ESCRAVO </t>
  </si>
  <si>
    <t xml:space="preserve">ANEL LETRA R </t>
  </si>
  <si>
    <t xml:space="preserve">ANEL PANTERA </t>
  </si>
  <si>
    <t xml:space="preserve">BRACELETE FERRADURA </t>
  </si>
  <si>
    <t xml:space="preserve">ANEL PARAFUSO </t>
  </si>
  <si>
    <t xml:space="preserve">MEDALHA SÃO MIGUEL </t>
  </si>
  <si>
    <t xml:space="preserve">CORDÃO E CRUCIFIXO </t>
  </si>
  <si>
    <t xml:space="preserve">CORDÃO ELO FEIJÃO </t>
  </si>
  <si>
    <t xml:space="preserve">CORDÃO OVAL C/ CORAÇÃO </t>
  </si>
  <si>
    <t xml:space="preserve">PINGENTE MENINA FLAMENGO </t>
  </si>
  <si>
    <t xml:space="preserve">ANEL DE JESUS </t>
  </si>
  <si>
    <t xml:space="preserve">CORDÃO COM NOME </t>
  </si>
  <si>
    <t xml:space="preserve">CORDÃO ELO OVAL </t>
  </si>
  <si>
    <t xml:space="preserve">BRINCO N.SENHARA APARECIDA </t>
  </si>
  <si>
    <t xml:space="preserve">BRINCO TREVO </t>
  </si>
  <si>
    <t xml:space="preserve">MEDALHA DE SÃO MIGUEL </t>
  </si>
  <si>
    <t xml:space="preserve">PULSEIRA DE FIOS </t>
  </si>
  <si>
    <t xml:space="preserve">CORDÃO COM FLORES </t>
  </si>
  <si>
    <t xml:space="preserve">MEDALHA CARICATURA </t>
  </si>
  <si>
    <t xml:space="preserve">ANEL PREGO </t>
  </si>
  <si>
    <t>ANEL COM IMÃ</t>
  </si>
  <si>
    <t xml:space="preserve">BRACELETE MASCULINO </t>
  </si>
  <si>
    <t xml:space="preserve">BRINCO GOTA </t>
  </si>
  <si>
    <t xml:space="preserve">ANEL COM CORAÇÃO </t>
  </si>
  <si>
    <t xml:space="preserve">ANEL COM ESPIRITO SANTO </t>
  </si>
  <si>
    <t xml:space="preserve">ANEL CORAÇÃO ROSE </t>
  </si>
  <si>
    <t xml:space="preserve">CORDÃO COM CORAÇÃO &amp; FAMILIA </t>
  </si>
  <si>
    <t xml:space="preserve">CORDÃO ELO PALMEIRA </t>
  </si>
  <si>
    <t xml:space="preserve">PULSEIRA COM PEDRAS ONIX </t>
  </si>
  <si>
    <t xml:space="preserve">ARGOLA C/ CORAÇÃO VERMELHO </t>
  </si>
  <si>
    <t xml:space="preserve">CORDÃO C/ MENINO </t>
  </si>
  <si>
    <t xml:space="preserve">CORDÃO C/ PINGENTE CORAÇÃO </t>
  </si>
  <si>
    <t xml:space="preserve">MEDALHA LETRA B </t>
  </si>
  <si>
    <t xml:space="preserve">PINGENTE CORAÇÃO C/MENINA E C/MENINO </t>
  </si>
  <si>
    <t xml:space="preserve">PINGENTE DO FLAMENGO </t>
  </si>
  <si>
    <t xml:space="preserve">PULSEIRA CORAÇÕES </t>
  </si>
  <si>
    <t xml:space="preserve">PULSEIRA DE VOLTAS </t>
  </si>
  <si>
    <t xml:space="preserve">MEDALHA LETRA M </t>
  </si>
  <si>
    <t xml:space="preserve">PULSEIRA MODELO RIVIERA </t>
  </si>
  <si>
    <t>CORDÃO C/ CADEADO</t>
  </si>
  <si>
    <t>OURO</t>
  </si>
  <si>
    <t>18K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</si>
</sst>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924CC453-15B6-40AE-BFCF-5DE8FB928EB3}" autoFormatId="16" applyNumberFormats="0" applyBorderFormats="0" applyFontFormats="0" applyPatternFormats="0" applyAlignmentFormats="0" applyWidthHeightFormats="0">
  <queryTableRefresh nextId="19" unboundColumnsRight="2">
    <queryTableFields count="15">
      <queryTableField id="1" name="Produto" tableColumnId="1"/>
      <queryTableField id="2" name="Material" tableColumnId="2"/>
      <queryTableField id="3" name="Pureza" tableColumnId="3"/>
      <queryTableField id="4" name="Categoria" tableColumnId="4"/>
      <queryTableField id="5" name="Data" tableColumnId="5"/>
      <queryTableField id="6" name="Forma_de_Pagamento" tableColumnId="6"/>
      <queryTableField id="16" dataBound="0" tableColumnId="7"/>
      <queryTableField id="8" name="Quantidade" tableColumnId="8"/>
      <queryTableField id="9" name="Valor_Unitario" tableColumnId="9"/>
      <queryTableField id="10" name="Percentual_Lucro" tableColumnId="10"/>
      <queryTableField id="11" name="Valor_Lucro" tableColumnId="11"/>
      <queryTableField id="12" name="Valor_Total" tableColumnId="12"/>
      <queryTableField id="13" name="Valor venda" tableColumnId="13"/>
      <queryTableField id="18" dataBound="0" tableColumnId="16"/>
      <queryTableField id="17" dataBound="0" tableColumnId="14"/>
    </queryTableFields>
    <queryTableDeletedFields count="1">
      <deletedField name="Vended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87AF6-3B57-4E37-82EB-81DBCB5B5A5A}" name="TabelaVendas1__2" displayName="TabelaVendas1__2" ref="A1:O572" tableType="queryTable" totalsRowShown="0">
  <autoFilter ref="A1:O572" xr:uid="{0F187AF6-3B57-4E37-82EB-81DBCB5B5A5A}"/>
  <tableColumns count="15">
    <tableColumn id="1" xr3:uid="{0E6B6B68-2367-40BF-9C67-3A8C0053E475}" uniqueName="1" name="Produto" queryTableFieldId="1" dataDxfId="13" totalsRowDxfId="14"/>
    <tableColumn id="2" xr3:uid="{854DEDD8-B7D1-4F87-87C4-3C0596038F1C}" uniqueName="2" name="Material" queryTableFieldId="2" dataDxfId="11" totalsRowDxfId="12"/>
    <tableColumn id="3" xr3:uid="{85EC3942-B06D-4700-8F8E-A01CCD811E94}" uniqueName="3" name="Pureza" queryTableFieldId="3" dataDxfId="9" totalsRowDxfId="10"/>
    <tableColumn id="4" xr3:uid="{C7CA5576-08BD-455D-A3EF-02871C7CC7B2}" uniqueName="4" name="Categoria" queryTableFieldId="4" dataDxfId="7" totalsRowDxfId="8"/>
    <tableColumn id="5" xr3:uid="{77A456FC-5E98-4A6B-978A-A3E1BC882948}" uniqueName="5" name="Data" queryTableFieldId="5" dataDxfId="5" totalsRowDxfId="6"/>
    <tableColumn id="6" xr3:uid="{8C3ABC65-E14E-4360-9213-A4110D65245D}" uniqueName="6" name="Forma_de_Pagamento" queryTableFieldId="6" dataDxfId="3" totalsRowDxfId="4"/>
    <tableColumn id="7" xr3:uid="{BC73B0C9-54C4-4266-9D65-D33E9C1DEAEC}" uniqueName="7" name="Vendedor" queryTableFieldId="16" dataDxfId="1" totalsRowDxfId="2">
      <calculatedColumnFormula>VLOOKUP(RAND(),{0,"Lucas";0.39,"Roberto";0.63,"Carla";0.78,"Pedro";0.93,"Emilly"},2,TRUE)</calculatedColumnFormula>
    </tableColumn>
    <tableColumn id="8" xr3:uid="{C656FBCF-55AA-4476-993B-B4A9AB5113D0}" uniqueName="8" name="Quantidade" queryTableFieldId="8"/>
    <tableColumn id="9" xr3:uid="{91E84714-1E1F-4A1F-A821-D0F7CDE7DACF}" uniqueName="9" name="Valor_Unitario" queryTableFieldId="9"/>
    <tableColumn id="10" xr3:uid="{22552B36-ECE0-4AD0-8070-845937E54EB2}" uniqueName="10" name="Percentual_Lucro" queryTableFieldId="10"/>
    <tableColumn id="11" xr3:uid="{B022E5B4-BAF6-4B6B-B564-B3F2A450DCCD}" uniqueName="11" name="Valor_Lucro" queryTableFieldId="11"/>
    <tableColumn id="12" xr3:uid="{3B220641-F1FC-4909-9D9B-F6DC31FB4A11}" uniqueName="12" name="Valor_Total" queryTableFieldId="12"/>
    <tableColumn id="13" xr3:uid="{03022FF8-720B-4918-B8B2-2F042A4D6214}" uniqueName="13" name="Valor_UnitarioXQtd" queryTableFieldId="13"/>
    <tableColumn id="16" xr3:uid="{92DFDBE5-727F-4C05-8157-7B6EFB050C97}" uniqueName="16" name="Valor_Venda" queryTableFieldId="18" dataDxfId="0">
      <calculatedColumnFormula>SUM(TabelaVendas1__2[[#This Row],[Valor_UnitarioXQtd]],TabelaVendas1__2[[#This Row],[Valor_Lucro]])</calculatedColumnFormula>
    </tableColumn>
    <tableColumn id="14" xr3:uid="{A3EBBBE1-E90C-4B33-AC6D-59BC66820BCB}" uniqueName="14" name="Link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ibb.co/fV0tzxFK/Pulseira.png" TargetMode="External"/><Relationship Id="rId299" Type="http://schemas.openxmlformats.org/officeDocument/2006/relationships/hyperlink" Target="https://i.ibb.co/rKrKDHQv/Alian-a.png" TargetMode="External"/><Relationship Id="rId21" Type="http://schemas.openxmlformats.org/officeDocument/2006/relationships/hyperlink" Target="https://i.ibb.co/7xPBffvg/Cord-o.png" TargetMode="External"/><Relationship Id="rId63" Type="http://schemas.openxmlformats.org/officeDocument/2006/relationships/hyperlink" Target="https://i.ibb.co/7xPBffvg/Cord-o.png" TargetMode="External"/><Relationship Id="rId159" Type="http://schemas.openxmlformats.org/officeDocument/2006/relationships/hyperlink" Target="https://i.ibb.co/fV0tzxFK/Pulseira.png" TargetMode="External"/><Relationship Id="rId324" Type="http://schemas.openxmlformats.org/officeDocument/2006/relationships/hyperlink" Target="https://i.ibb.co/sJ5q4DRf/Medalha-de-Letra.png" TargetMode="External"/><Relationship Id="rId366" Type="http://schemas.openxmlformats.org/officeDocument/2006/relationships/hyperlink" Target="https://i.ibb.co/Txp3DYjx/Pingente-de-S-o-Jorge.png" TargetMode="External"/><Relationship Id="rId170" Type="http://schemas.openxmlformats.org/officeDocument/2006/relationships/hyperlink" Target="https://i.ibb.co/pDqp3Qn/Escapul-rio.png" TargetMode="External"/><Relationship Id="rId226" Type="http://schemas.openxmlformats.org/officeDocument/2006/relationships/hyperlink" Target="https://i.ibb.co/cXDYTcVZ/Bracelete.png" TargetMode="External"/><Relationship Id="rId268" Type="http://schemas.openxmlformats.org/officeDocument/2006/relationships/hyperlink" Target="https://i.ibb.co/dwxBS6gB/Anel.png" TargetMode="External"/><Relationship Id="rId32" Type="http://schemas.openxmlformats.org/officeDocument/2006/relationships/hyperlink" Target="https://i.ibb.co/7xPBffvg/Cord-o.png" TargetMode="External"/><Relationship Id="rId74" Type="http://schemas.openxmlformats.org/officeDocument/2006/relationships/hyperlink" Target="https://i.ibb.co/7xPBffvg/Cord-o.png" TargetMode="External"/><Relationship Id="rId128" Type="http://schemas.openxmlformats.org/officeDocument/2006/relationships/hyperlink" Target="https://i.ibb.co/fV0tzxFK/Pulseira.png" TargetMode="External"/><Relationship Id="rId335" Type="http://schemas.openxmlformats.org/officeDocument/2006/relationships/hyperlink" Target="https://i.ibb.co/sJ5q4DRf/Medalha-de-Letra.png" TargetMode="External"/><Relationship Id="rId377" Type="http://schemas.openxmlformats.org/officeDocument/2006/relationships/hyperlink" Target="https://i.ibb.co/Txp3DYjx/Pingente-de-S-o-Jorge.png" TargetMode="External"/><Relationship Id="rId5" Type="http://schemas.openxmlformats.org/officeDocument/2006/relationships/hyperlink" Target="https://i.ibb.co/d44wqwyS/Crucifixo.png" TargetMode="External"/><Relationship Id="rId181" Type="http://schemas.openxmlformats.org/officeDocument/2006/relationships/hyperlink" Target="https://i.ibb.co/d44wqwyS/Crucifixo.png" TargetMode="External"/><Relationship Id="rId237" Type="http://schemas.openxmlformats.org/officeDocument/2006/relationships/hyperlink" Target="https://i.ibb.co/cXDYTcVZ/Bracelete.png" TargetMode="External"/><Relationship Id="rId402" Type="http://schemas.openxmlformats.org/officeDocument/2006/relationships/hyperlink" Target="https://i.ibb.co/sdHXRM0k/Brinco-com-Pedras-Azuis-e-Branca.png" TargetMode="External"/><Relationship Id="rId279" Type="http://schemas.openxmlformats.org/officeDocument/2006/relationships/hyperlink" Target="https://i.ibb.co/rKrKDHQv/Alian-a.png" TargetMode="External"/><Relationship Id="rId43" Type="http://schemas.openxmlformats.org/officeDocument/2006/relationships/hyperlink" Target="https://i.ibb.co/7xPBffvg/Cord-o.png" TargetMode="External"/><Relationship Id="rId139" Type="http://schemas.openxmlformats.org/officeDocument/2006/relationships/hyperlink" Target="https://i.ibb.co/fV0tzxFK/Pulseira.png" TargetMode="External"/><Relationship Id="rId290" Type="http://schemas.openxmlformats.org/officeDocument/2006/relationships/hyperlink" Target="https://i.ibb.co/rKrKDHQv/Alian-a.png" TargetMode="External"/><Relationship Id="rId304" Type="http://schemas.openxmlformats.org/officeDocument/2006/relationships/hyperlink" Target="https://i.ibb.co/rKrKDHQv/Alian-a.png" TargetMode="External"/><Relationship Id="rId346" Type="http://schemas.openxmlformats.org/officeDocument/2006/relationships/hyperlink" Target="https://i.ibb.co/Txp3DYjx/Pingente-de-S-o-Jorge.png" TargetMode="External"/><Relationship Id="rId388" Type="http://schemas.openxmlformats.org/officeDocument/2006/relationships/hyperlink" Target="https://i.ibb.co/pvy4pQ2x/Argola.png" TargetMode="External"/><Relationship Id="rId85" Type="http://schemas.openxmlformats.org/officeDocument/2006/relationships/hyperlink" Target="https://i.ibb.co/7xPBffvg/Cord-o.png" TargetMode="External"/><Relationship Id="rId150" Type="http://schemas.openxmlformats.org/officeDocument/2006/relationships/hyperlink" Target="https://i.ibb.co/fV0tzxFK/Pulseira.png" TargetMode="External"/><Relationship Id="rId192" Type="http://schemas.openxmlformats.org/officeDocument/2006/relationships/hyperlink" Target="https://i.ibb.co/d44wqwyS/Crucifixo.png" TargetMode="External"/><Relationship Id="rId206" Type="http://schemas.openxmlformats.org/officeDocument/2006/relationships/hyperlink" Target="https://i.ibb.co/cXDYTcVZ/Bracelete.png" TargetMode="External"/><Relationship Id="rId413" Type="http://schemas.openxmlformats.org/officeDocument/2006/relationships/hyperlink" Target="https://i.ibb.co/BKSYnNXM/Colar.png" TargetMode="External"/><Relationship Id="rId248" Type="http://schemas.openxmlformats.org/officeDocument/2006/relationships/hyperlink" Target="https://i.ibb.co/dwxBS6gB/Anel.png" TargetMode="External"/><Relationship Id="rId12" Type="http://schemas.openxmlformats.org/officeDocument/2006/relationships/hyperlink" Target="https://i.ibb.co/7xPBffvg/Cord-o.png" TargetMode="External"/><Relationship Id="rId108" Type="http://schemas.openxmlformats.org/officeDocument/2006/relationships/hyperlink" Target="https://i.ibb.co/mFvjYwGq/Ter-o.png" TargetMode="External"/><Relationship Id="rId315" Type="http://schemas.openxmlformats.org/officeDocument/2006/relationships/hyperlink" Target="https://i.ibb.co/sJ5q4DRf/Medalha-de-Letra.png" TargetMode="External"/><Relationship Id="rId357" Type="http://schemas.openxmlformats.org/officeDocument/2006/relationships/hyperlink" Target="https://i.ibb.co/Txp3DYjx/Pingente-de-S-o-Jorge.png" TargetMode="External"/><Relationship Id="rId54" Type="http://schemas.openxmlformats.org/officeDocument/2006/relationships/hyperlink" Target="https://i.ibb.co/7xPBffvg/Cord-o.png" TargetMode="External"/><Relationship Id="rId96" Type="http://schemas.openxmlformats.org/officeDocument/2006/relationships/hyperlink" Target="https://i.ibb.co/7xPBffvg/Cord-o.png" TargetMode="External"/><Relationship Id="rId161" Type="http://schemas.openxmlformats.org/officeDocument/2006/relationships/hyperlink" Target="https://i.ibb.co/fV0tzxFK/Pulseira.png" TargetMode="External"/><Relationship Id="rId217" Type="http://schemas.openxmlformats.org/officeDocument/2006/relationships/hyperlink" Target="https://i.ibb.co/cXDYTcVZ/Bracelete.png" TargetMode="External"/><Relationship Id="rId399" Type="http://schemas.openxmlformats.org/officeDocument/2006/relationships/hyperlink" Target="https://i.ibb.co/sdHXRM0k/Brinco-com-Pedras-Azuis-e-Branca.png" TargetMode="External"/><Relationship Id="rId259" Type="http://schemas.openxmlformats.org/officeDocument/2006/relationships/hyperlink" Target="https://i.ibb.co/dwxBS6gB/Anel.png" TargetMode="External"/><Relationship Id="rId23" Type="http://schemas.openxmlformats.org/officeDocument/2006/relationships/hyperlink" Target="https://i.ibb.co/7xPBffvg/Cord-o.png" TargetMode="External"/><Relationship Id="rId119" Type="http://schemas.openxmlformats.org/officeDocument/2006/relationships/hyperlink" Target="https://i.ibb.co/fV0tzxFK/Pulseira.png" TargetMode="External"/><Relationship Id="rId270" Type="http://schemas.openxmlformats.org/officeDocument/2006/relationships/hyperlink" Target="https://i.ibb.co/dwxBS6gB/Anel.png" TargetMode="External"/><Relationship Id="rId326" Type="http://schemas.openxmlformats.org/officeDocument/2006/relationships/hyperlink" Target="https://i.ibb.co/sJ5q4DRf/Medalha-de-Letra.png" TargetMode="External"/><Relationship Id="rId65" Type="http://schemas.openxmlformats.org/officeDocument/2006/relationships/hyperlink" Target="https://i.ibb.co/7xPBffvg/Cord-o.png" TargetMode="External"/><Relationship Id="rId130" Type="http://schemas.openxmlformats.org/officeDocument/2006/relationships/hyperlink" Target="https://i.ibb.co/fV0tzxFK/Pulseira.png" TargetMode="External"/><Relationship Id="rId368" Type="http://schemas.openxmlformats.org/officeDocument/2006/relationships/hyperlink" Target="https://i.ibb.co/Txp3DYjx/Pingente-de-S-o-Jorge.png" TargetMode="External"/><Relationship Id="rId172" Type="http://schemas.openxmlformats.org/officeDocument/2006/relationships/hyperlink" Target="https://i.ibb.co/pDqp3Qn/Escapul-rio.png" TargetMode="External"/><Relationship Id="rId228" Type="http://schemas.openxmlformats.org/officeDocument/2006/relationships/hyperlink" Target="https://i.ibb.co/cXDYTcVZ/Bracelete.png" TargetMode="External"/><Relationship Id="rId281" Type="http://schemas.openxmlformats.org/officeDocument/2006/relationships/hyperlink" Target="https://i.ibb.co/rKrKDHQv/Alian-a.png" TargetMode="External"/><Relationship Id="rId337" Type="http://schemas.openxmlformats.org/officeDocument/2006/relationships/hyperlink" Target="https://i.ibb.co/sJ5q4DRf/Medalha-de-Letra.png" TargetMode="External"/><Relationship Id="rId34" Type="http://schemas.openxmlformats.org/officeDocument/2006/relationships/hyperlink" Target="https://i.ibb.co/7xPBffvg/Cord-o.png" TargetMode="External"/><Relationship Id="rId76" Type="http://schemas.openxmlformats.org/officeDocument/2006/relationships/hyperlink" Target="https://i.ibb.co/7xPBffvg/Cord-o.png" TargetMode="External"/><Relationship Id="rId141" Type="http://schemas.openxmlformats.org/officeDocument/2006/relationships/hyperlink" Target="https://i.ibb.co/fV0tzxFK/Pulseira.png" TargetMode="External"/><Relationship Id="rId379" Type="http://schemas.openxmlformats.org/officeDocument/2006/relationships/hyperlink" Target="https://i.ibb.co/Txp3DYjx/Pingente-de-S-o-Jorge.png" TargetMode="External"/><Relationship Id="rId7" Type="http://schemas.openxmlformats.org/officeDocument/2006/relationships/hyperlink" Target="https://i.ibb.co/sJ5q4DRf/Medalha-de-Letra.png" TargetMode="External"/><Relationship Id="rId183" Type="http://schemas.openxmlformats.org/officeDocument/2006/relationships/hyperlink" Target="https://i.ibb.co/d44wqwyS/Crucifixo.png" TargetMode="External"/><Relationship Id="rId239" Type="http://schemas.openxmlformats.org/officeDocument/2006/relationships/hyperlink" Target="https://i.ibb.co/dwxBS6gB/Anel.png" TargetMode="External"/><Relationship Id="rId390" Type="http://schemas.openxmlformats.org/officeDocument/2006/relationships/hyperlink" Target="https://i.ibb.co/pvy4pQ2x/Argola.png" TargetMode="External"/><Relationship Id="rId404" Type="http://schemas.openxmlformats.org/officeDocument/2006/relationships/hyperlink" Target="https://i.ibb.co/sdHXRM0k/Brinco-com-Pedras-Azuis-e-Branca.png" TargetMode="External"/><Relationship Id="rId250" Type="http://schemas.openxmlformats.org/officeDocument/2006/relationships/hyperlink" Target="https://i.ibb.co/dwxBS6gB/Anel.png" TargetMode="External"/><Relationship Id="rId292" Type="http://schemas.openxmlformats.org/officeDocument/2006/relationships/hyperlink" Target="https://i.ibb.co/rKrKDHQv/Alian-a.png" TargetMode="External"/><Relationship Id="rId306" Type="http://schemas.openxmlformats.org/officeDocument/2006/relationships/hyperlink" Target="https://i.ibb.co/rKrKDHQv/Alian-a.png" TargetMode="External"/><Relationship Id="rId45" Type="http://schemas.openxmlformats.org/officeDocument/2006/relationships/hyperlink" Target="https://i.ibb.co/7xPBffvg/Cord-o.png" TargetMode="External"/><Relationship Id="rId87" Type="http://schemas.openxmlformats.org/officeDocument/2006/relationships/hyperlink" Target="https://i.ibb.co/7xPBffvg/Cord-o.png" TargetMode="External"/><Relationship Id="rId110" Type="http://schemas.openxmlformats.org/officeDocument/2006/relationships/hyperlink" Target="https://i.ibb.co/mFvjYwGq/Ter-o.png" TargetMode="External"/><Relationship Id="rId348" Type="http://schemas.openxmlformats.org/officeDocument/2006/relationships/hyperlink" Target="https://i.ibb.co/Txp3DYjx/Pingente-de-S-o-Jorge.png" TargetMode="External"/><Relationship Id="rId152" Type="http://schemas.openxmlformats.org/officeDocument/2006/relationships/hyperlink" Target="https://i.ibb.co/fV0tzxFK/Pulseira.png" TargetMode="External"/><Relationship Id="rId194" Type="http://schemas.openxmlformats.org/officeDocument/2006/relationships/hyperlink" Target="https://i.ibb.co/d44wqwyS/Crucifixo.png" TargetMode="External"/><Relationship Id="rId208" Type="http://schemas.openxmlformats.org/officeDocument/2006/relationships/hyperlink" Target="https://i.ibb.co/cXDYTcVZ/Bracelete.png" TargetMode="External"/><Relationship Id="rId415" Type="http://schemas.openxmlformats.org/officeDocument/2006/relationships/hyperlink" Target="https://i.ibb.co/BKSYnNXM/Colar.png" TargetMode="External"/><Relationship Id="rId261" Type="http://schemas.openxmlformats.org/officeDocument/2006/relationships/hyperlink" Target="https://i.ibb.co/dwxBS6gB/Anel.png" TargetMode="External"/><Relationship Id="rId14" Type="http://schemas.openxmlformats.org/officeDocument/2006/relationships/hyperlink" Target="https://i.ibb.co/7xPBffvg/Cord-o.png" TargetMode="External"/><Relationship Id="rId56" Type="http://schemas.openxmlformats.org/officeDocument/2006/relationships/hyperlink" Target="https://i.ibb.co/7xPBffvg/Cord-o.png" TargetMode="External"/><Relationship Id="rId317" Type="http://schemas.openxmlformats.org/officeDocument/2006/relationships/hyperlink" Target="https://i.ibb.co/sJ5q4DRf/Medalha-de-Letra.png" TargetMode="External"/><Relationship Id="rId359" Type="http://schemas.openxmlformats.org/officeDocument/2006/relationships/hyperlink" Target="https://i.ibb.co/Txp3DYjx/Pingente-de-S-o-Jorge.png" TargetMode="External"/><Relationship Id="rId98" Type="http://schemas.openxmlformats.org/officeDocument/2006/relationships/hyperlink" Target="https://i.ibb.co/7xPBffvg/Cord-o.png" TargetMode="External"/><Relationship Id="rId121" Type="http://schemas.openxmlformats.org/officeDocument/2006/relationships/hyperlink" Target="https://i.ibb.co/fV0tzxFK/Pulseira.png" TargetMode="External"/><Relationship Id="rId163" Type="http://schemas.openxmlformats.org/officeDocument/2006/relationships/hyperlink" Target="https://i.ibb.co/fV0tzxFK/Pulseira.png" TargetMode="External"/><Relationship Id="rId219" Type="http://schemas.openxmlformats.org/officeDocument/2006/relationships/hyperlink" Target="https://i.ibb.co/cXDYTcVZ/Bracelete.png" TargetMode="External"/><Relationship Id="rId370" Type="http://schemas.openxmlformats.org/officeDocument/2006/relationships/hyperlink" Target="https://i.ibb.co/Txp3DYjx/Pingente-de-S-o-Jorge.png" TargetMode="External"/><Relationship Id="rId230" Type="http://schemas.openxmlformats.org/officeDocument/2006/relationships/hyperlink" Target="https://i.ibb.co/cXDYTcVZ/Bracelete.png" TargetMode="External"/><Relationship Id="rId25" Type="http://schemas.openxmlformats.org/officeDocument/2006/relationships/hyperlink" Target="https://i.ibb.co/7xPBffvg/Cord-o.png" TargetMode="External"/><Relationship Id="rId67" Type="http://schemas.openxmlformats.org/officeDocument/2006/relationships/hyperlink" Target="https://i.ibb.co/7xPBffvg/Cord-o.png" TargetMode="External"/><Relationship Id="rId272" Type="http://schemas.openxmlformats.org/officeDocument/2006/relationships/hyperlink" Target="https://i.ibb.co/dwxBS6gB/Anel.png" TargetMode="External"/><Relationship Id="rId328" Type="http://schemas.openxmlformats.org/officeDocument/2006/relationships/hyperlink" Target="https://i.ibb.co/sJ5q4DRf/Medalha-de-Letra.png" TargetMode="External"/><Relationship Id="rId132" Type="http://schemas.openxmlformats.org/officeDocument/2006/relationships/hyperlink" Target="https://i.ibb.co/fV0tzxFK/Pulseira.png" TargetMode="External"/><Relationship Id="rId174" Type="http://schemas.openxmlformats.org/officeDocument/2006/relationships/hyperlink" Target="https://i.ibb.co/pDqp3Qn/Escapul-rio.png" TargetMode="External"/><Relationship Id="rId381" Type="http://schemas.openxmlformats.org/officeDocument/2006/relationships/hyperlink" Target="https://i.ibb.co/pvy4pQ2x/Argola.png" TargetMode="External"/><Relationship Id="rId241" Type="http://schemas.openxmlformats.org/officeDocument/2006/relationships/hyperlink" Target="https://i.ibb.co/dwxBS6gB/Anel.png" TargetMode="External"/><Relationship Id="rId36" Type="http://schemas.openxmlformats.org/officeDocument/2006/relationships/hyperlink" Target="https://i.ibb.co/7xPBffvg/Cord-o.png" TargetMode="External"/><Relationship Id="rId283" Type="http://schemas.openxmlformats.org/officeDocument/2006/relationships/hyperlink" Target="https://i.ibb.co/rKrKDHQv/Alian-a.png" TargetMode="External"/><Relationship Id="rId339" Type="http://schemas.openxmlformats.org/officeDocument/2006/relationships/hyperlink" Target="https://i.ibb.co/sJ5q4DRf/Medalha-de-Letra.png" TargetMode="External"/><Relationship Id="rId78" Type="http://schemas.openxmlformats.org/officeDocument/2006/relationships/hyperlink" Target="https://i.ibb.co/7xPBffvg/Cord-o.png" TargetMode="External"/><Relationship Id="rId101" Type="http://schemas.openxmlformats.org/officeDocument/2006/relationships/hyperlink" Target="https://i.ibb.co/7xPBffvg/Cord-o.png" TargetMode="External"/><Relationship Id="rId143" Type="http://schemas.openxmlformats.org/officeDocument/2006/relationships/hyperlink" Target="https://i.ibb.co/fV0tzxFK/Pulseira.png" TargetMode="External"/><Relationship Id="rId185" Type="http://schemas.openxmlformats.org/officeDocument/2006/relationships/hyperlink" Target="https://i.ibb.co/d44wqwyS/Crucifixo.png" TargetMode="External"/><Relationship Id="rId350" Type="http://schemas.openxmlformats.org/officeDocument/2006/relationships/hyperlink" Target="https://i.ibb.co/Txp3DYjx/Pingente-de-S-o-Jorge.png" TargetMode="External"/><Relationship Id="rId406" Type="http://schemas.openxmlformats.org/officeDocument/2006/relationships/hyperlink" Target="https://i.ibb.co/sdHXRM0k/Brinco-com-Pedras-Azuis-e-Branca.png" TargetMode="External"/><Relationship Id="rId9" Type="http://schemas.openxmlformats.org/officeDocument/2006/relationships/hyperlink" Target="https://i.ibb.co/mFvjYwGq/Ter-o.png" TargetMode="External"/><Relationship Id="rId210" Type="http://schemas.openxmlformats.org/officeDocument/2006/relationships/hyperlink" Target="https://i.ibb.co/cXDYTcVZ/Bracelete.png" TargetMode="External"/><Relationship Id="rId392" Type="http://schemas.openxmlformats.org/officeDocument/2006/relationships/hyperlink" Target="https://i.ibb.co/pvy4pQ2x/Argola.png" TargetMode="External"/><Relationship Id="rId252" Type="http://schemas.openxmlformats.org/officeDocument/2006/relationships/hyperlink" Target="https://i.ibb.co/dwxBS6gB/Anel.png" TargetMode="External"/><Relationship Id="rId294" Type="http://schemas.openxmlformats.org/officeDocument/2006/relationships/hyperlink" Target="https://i.ibb.co/rKrKDHQv/Alian-a.png" TargetMode="External"/><Relationship Id="rId308" Type="http://schemas.openxmlformats.org/officeDocument/2006/relationships/hyperlink" Target="https://i.ibb.co/rKrKDHQv/Alian-a.png" TargetMode="External"/><Relationship Id="rId47" Type="http://schemas.openxmlformats.org/officeDocument/2006/relationships/hyperlink" Target="https://i.ibb.co/7xPBffvg/Cord-o.png" TargetMode="External"/><Relationship Id="rId89" Type="http://schemas.openxmlformats.org/officeDocument/2006/relationships/hyperlink" Target="https://i.ibb.co/7xPBffvg/Cord-o.png" TargetMode="External"/><Relationship Id="rId112" Type="http://schemas.openxmlformats.org/officeDocument/2006/relationships/hyperlink" Target="https://i.ibb.co/fV0tzxFK/Pulseira.png" TargetMode="External"/><Relationship Id="rId154" Type="http://schemas.openxmlformats.org/officeDocument/2006/relationships/hyperlink" Target="https://i.ibb.co/fV0tzxFK/Pulseira.png" TargetMode="External"/><Relationship Id="rId361" Type="http://schemas.openxmlformats.org/officeDocument/2006/relationships/hyperlink" Target="https://i.ibb.co/Txp3DYjx/Pingente-de-S-o-Jorge.png" TargetMode="External"/><Relationship Id="rId196" Type="http://schemas.openxmlformats.org/officeDocument/2006/relationships/hyperlink" Target="https://i.ibb.co/d44wqwyS/Crucifixo.png" TargetMode="External"/><Relationship Id="rId417" Type="http://schemas.openxmlformats.org/officeDocument/2006/relationships/hyperlink" Target="https://i.ibb.co/BKSYnNXM/Colar.png" TargetMode="External"/><Relationship Id="rId16" Type="http://schemas.openxmlformats.org/officeDocument/2006/relationships/hyperlink" Target="https://i.ibb.co/7xPBffvg/Cord-o.png" TargetMode="External"/><Relationship Id="rId221" Type="http://schemas.openxmlformats.org/officeDocument/2006/relationships/hyperlink" Target="https://i.ibb.co/cXDYTcVZ/Bracelete.png" TargetMode="External"/><Relationship Id="rId263" Type="http://schemas.openxmlformats.org/officeDocument/2006/relationships/hyperlink" Target="https://i.ibb.co/dwxBS6gB/Anel.png" TargetMode="External"/><Relationship Id="rId319" Type="http://schemas.openxmlformats.org/officeDocument/2006/relationships/hyperlink" Target="https://i.ibb.co/sJ5q4DRf/Medalha-de-Letra.png" TargetMode="External"/><Relationship Id="rId58" Type="http://schemas.openxmlformats.org/officeDocument/2006/relationships/hyperlink" Target="https://i.ibb.co/7xPBffvg/Cord-o.png" TargetMode="External"/><Relationship Id="rId123" Type="http://schemas.openxmlformats.org/officeDocument/2006/relationships/hyperlink" Target="https://i.ibb.co/fV0tzxFK/Pulseira.png" TargetMode="External"/><Relationship Id="rId330" Type="http://schemas.openxmlformats.org/officeDocument/2006/relationships/hyperlink" Target="https://i.ibb.co/sJ5q4DRf/Medalha-de-Letra.png" TargetMode="External"/><Relationship Id="rId165" Type="http://schemas.openxmlformats.org/officeDocument/2006/relationships/hyperlink" Target="https://i.ibb.co/fV0tzxFK/Pulseira.png" TargetMode="External"/><Relationship Id="rId372" Type="http://schemas.openxmlformats.org/officeDocument/2006/relationships/hyperlink" Target="https://i.ibb.co/Txp3DYjx/Pingente-de-S-o-Jorge.png" TargetMode="External"/><Relationship Id="rId232" Type="http://schemas.openxmlformats.org/officeDocument/2006/relationships/hyperlink" Target="https://i.ibb.co/cXDYTcVZ/Bracelete.png" TargetMode="External"/><Relationship Id="rId274" Type="http://schemas.openxmlformats.org/officeDocument/2006/relationships/hyperlink" Target="https://i.ibb.co/dwxBS6gB/Anel.png" TargetMode="External"/><Relationship Id="rId27" Type="http://schemas.openxmlformats.org/officeDocument/2006/relationships/hyperlink" Target="https://i.ibb.co/7xPBffvg/Cord-o.png" TargetMode="External"/><Relationship Id="rId69" Type="http://schemas.openxmlformats.org/officeDocument/2006/relationships/hyperlink" Target="https://i.ibb.co/7xPBffvg/Cord-o.png" TargetMode="External"/><Relationship Id="rId134" Type="http://schemas.openxmlformats.org/officeDocument/2006/relationships/hyperlink" Target="https://i.ibb.co/fV0tzxFK/Pulseira.png" TargetMode="External"/><Relationship Id="rId80" Type="http://schemas.openxmlformats.org/officeDocument/2006/relationships/hyperlink" Target="https://i.ibb.co/7xPBffvg/Cord-o.png" TargetMode="External"/><Relationship Id="rId176" Type="http://schemas.openxmlformats.org/officeDocument/2006/relationships/hyperlink" Target="https://i.ibb.co/d44wqwyS/Crucifixo.png" TargetMode="External"/><Relationship Id="rId341" Type="http://schemas.openxmlformats.org/officeDocument/2006/relationships/hyperlink" Target="https://i.ibb.co/sJ5q4DRf/Medalha-de-Letra.png" TargetMode="External"/><Relationship Id="rId383" Type="http://schemas.openxmlformats.org/officeDocument/2006/relationships/hyperlink" Target="https://i.ibb.co/pvy4pQ2x/Argola.png" TargetMode="External"/><Relationship Id="rId201" Type="http://schemas.openxmlformats.org/officeDocument/2006/relationships/hyperlink" Target="https://i.ibb.co/cXDYTcVZ/Bracelete.png" TargetMode="External"/><Relationship Id="rId222" Type="http://schemas.openxmlformats.org/officeDocument/2006/relationships/hyperlink" Target="https://i.ibb.co/cXDYTcVZ/Bracelete.png" TargetMode="External"/><Relationship Id="rId243" Type="http://schemas.openxmlformats.org/officeDocument/2006/relationships/hyperlink" Target="https://i.ibb.co/dwxBS6gB/Anel.png" TargetMode="External"/><Relationship Id="rId264" Type="http://schemas.openxmlformats.org/officeDocument/2006/relationships/hyperlink" Target="https://i.ibb.co/dwxBS6gB/Anel.png" TargetMode="External"/><Relationship Id="rId285" Type="http://schemas.openxmlformats.org/officeDocument/2006/relationships/hyperlink" Target="https://i.ibb.co/rKrKDHQv/Alian-a.png" TargetMode="External"/><Relationship Id="rId17" Type="http://schemas.openxmlformats.org/officeDocument/2006/relationships/hyperlink" Target="https://i.ibb.co/7xPBffvg/Cord-o.png" TargetMode="External"/><Relationship Id="rId38" Type="http://schemas.openxmlformats.org/officeDocument/2006/relationships/hyperlink" Target="https://i.ibb.co/7xPBffvg/Cord-o.png" TargetMode="External"/><Relationship Id="rId59" Type="http://schemas.openxmlformats.org/officeDocument/2006/relationships/hyperlink" Target="https://i.ibb.co/7xPBffvg/Cord-o.png" TargetMode="External"/><Relationship Id="rId103" Type="http://schemas.openxmlformats.org/officeDocument/2006/relationships/hyperlink" Target="https://i.ibb.co/mFvjYwGq/Ter-o.png" TargetMode="External"/><Relationship Id="rId124" Type="http://schemas.openxmlformats.org/officeDocument/2006/relationships/hyperlink" Target="https://i.ibb.co/fV0tzxFK/Pulseira.png" TargetMode="External"/><Relationship Id="rId310" Type="http://schemas.openxmlformats.org/officeDocument/2006/relationships/hyperlink" Target="https://i.ibb.co/sJ5q4DRf/Medalha-de-Letra.png" TargetMode="External"/><Relationship Id="rId70" Type="http://schemas.openxmlformats.org/officeDocument/2006/relationships/hyperlink" Target="https://i.ibb.co/7xPBffvg/Cord-o.png" TargetMode="External"/><Relationship Id="rId91" Type="http://schemas.openxmlformats.org/officeDocument/2006/relationships/hyperlink" Target="https://i.ibb.co/7xPBffvg/Cord-o.png" TargetMode="External"/><Relationship Id="rId145" Type="http://schemas.openxmlformats.org/officeDocument/2006/relationships/hyperlink" Target="https://i.ibb.co/fV0tzxFK/Pulseira.png" TargetMode="External"/><Relationship Id="rId166" Type="http://schemas.openxmlformats.org/officeDocument/2006/relationships/hyperlink" Target="https://i.ibb.co/pDqp3Qn/Escapul-rio.png" TargetMode="External"/><Relationship Id="rId187" Type="http://schemas.openxmlformats.org/officeDocument/2006/relationships/hyperlink" Target="https://i.ibb.co/d44wqwyS/Crucifixo.png" TargetMode="External"/><Relationship Id="rId331" Type="http://schemas.openxmlformats.org/officeDocument/2006/relationships/hyperlink" Target="https://i.ibb.co/sJ5q4DRf/Medalha-de-Letra.png" TargetMode="External"/><Relationship Id="rId352" Type="http://schemas.openxmlformats.org/officeDocument/2006/relationships/hyperlink" Target="https://i.ibb.co/Txp3DYjx/Pingente-de-S-o-Jorge.png" TargetMode="External"/><Relationship Id="rId373" Type="http://schemas.openxmlformats.org/officeDocument/2006/relationships/hyperlink" Target="https://i.ibb.co/Txp3DYjx/Pingente-de-S-o-Jorge.png" TargetMode="External"/><Relationship Id="rId394" Type="http://schemas.openxmlformats.org/officeDocument/2006/relationships/hyperlink" Target="https://i.ibb.co/sdHXRM0k/Brinco-com-Pedras-Azuis-e-Branca.png" TargetMode="External"/><Relationship Id="rId408" Type="http://schemas.openxmlformats.org/officeDocument/2006/relationships/hyperlink" Target="https://i.ibb.co/sdHXRM0k/Brinco-com-Pedras-Azuis-e-Branca.png" TargetMode="External"/><Relationship Id="rId1" Type="http://schemas.openxmlformats.org/officeDocument/2006/relationships/hyperlink" Target="https://i.ibb.co/rKrKDHQv/Alian-a.png" TargetMode="External"/><Relationship Id="rId212" Type="http://schemas.openxmlformats.org/officeDocument/2006/relationships/hyperlink" Target="https://i.ibb.co/cXDYTcVZ/Bracelete.png" TargetMode="External"/><Relationship Id="rId233" Type="http://schemas.openxmlformats.org/officeDocument/2006/relationships/hyperlink" Target="https://i.ibb.co/cXDYTcVZ/Bracelete.png" TargetMode="External"/><Relationship Id="rId254" Type="http://schemas.openxmlformats.org/officeDocument/2006/relationships/hyperlink" Target="https://i.ibb.co/dwxBS6gB/Anel.png" TargetMode="External"/><Relationship Id="rId28" Type="http://schemas.openxmlformats.org/officeDocument/2006/relationships/hyperlink" Target="https://i.ibb.co/7xPBffvg/Cord-o.png" TargetMode="External"/><Relationship Id="rId49" Type="http://schemas.openxmlformats.org/officeDocument/2006/relationships/hyperlink" Target="https://i.ibb.co/7xPBffvg/Cord-o.png" TargetMode="External"/><Relationship Id="rId114" Type="http://schemas.openxmlformats.org/officeDocument/2006/relationships/hyperlink" Target="https://i.ibb.co/fV0tzxFK/Pulseira.png" TargetMode="External"/><Relationship Id="rId275" Type="http://schemas.openxmlformats.org/officeDocument/2006/relationships/hyperlink" Target="https://i.ibb.co/dwxBS6gB/Anel.png" TargetMode="External"/><Relationship Id="rId296" Type="http://schemas.openxmlformats.org/officeDocument/2006/relationships/hyperlink" Target="https://i.ibb.co/rKrKDHQv/Alian-a.png" TargetMode="External"/><Relationship Id="rId300" Type="http://schemas.openxmlformats.org/officeDocument/2006/relationships/hyperlink" Target="https://i.ibb.co/rKrKDHQv/Alian-a.png" TargetMode="External"/><Relationship Id="rId60" Type="http://schemas.openxmlformats.org/officeDocument/2006/relationships/hyperlink" Target="https://i.ibb.co/7xPBffvg/Cord-o.png" TargetMode="External"/><Relationship Id="rId81" Type="http://schemas.openxmlformats.org/officeDocument/2006/relationships/hyperlink" Target="https://i.ibb.co/7xPBffvg/Cord-o.png" TargetMode="External"/><Relationship Id="rId135" Type="http://schemas.openxmlformats.org/officeDocument/2006/relationships/hyperlink" Target="https://i.ibb.co/fV0tzxFK/Pulseira.png" TargetMode="External"/><Relationship Id="rId156" Type="http://schemas.openxmlformats.org/officeDocument/2006/relationships/hyperlink" Target="https://i.ibb.co/fV0tzxFK/Pulseira.png" TargetMode="External"/><Relationship Id="rId177" Type="http://schemas.openxmlformats.org/officeDocument/2006/relationships/hyperlink" Target="https://i.ibb.co/d44wqwyS/Crucifixo.png" TargetMode="External"/><Relationship Id="rId198" Type="http://schemas.openxmlformats.org/officeDocument/2006/relationships/hyperlink" Target="https://i.ibb.co/d44wqwyS/Crucifixo.png" TargetMode="External"/><Relationship Id="rId321" Type="http://schemas.openxmlformats.org/officeDocument/2006/relationships/hyperlink" Target="https://i.ibb.co/sJ5q4DRf/Medalha-de-Letra.png" TargetMode="External"/><Relationship Id="rId342" Type="http://schemas.openxmlformats.org/officeDocument/2006/relationships/hyperlink" Target="https://i.ibb.co/sJ5q4DRf/Medalha-de-Letra.png" TargetMode="External"/><Relationship Id="rId363" Type="http://schemas.openxmlformats.org/officeDocument/2006/relationships/hyperlink" Target="https://i.ibb.co/Txp3DYjx/Pingente-de-S-o-Jorge.png" TargetMode="External"/><Relationship Id="rId384" Type="http://schemas.openxmlformats.org/officeDocument/2006/relationships/hyperlink" Target="https://i.ibb.co/pvy4pQ2x/Argola.png" TargetMode="External"/><Relationship Id="rId419" Type="http://schemas.openxmlformats.org/officeDocument/2006/relationships/table" Target="../tables/table1.xml"/><Relationship Id="rId202" Type="http://schemas.openxmlformats.org/officeDocument/2006/relationships/hyperlink" Target="https://i.ibb.co/cXDYTcVZ/Bracelete.png" TargetMode="External"/><Relationship Id="rId223" Type="http://schemas.openxmlformats.org/officeDocument/2006/relationships/hyperlink" Target="https://i.ibb.co/cXDYTcVZ/Bracelete.png" TargetMode="External"/><Relationship Id="rId244" Type="http://schemas.openxmlformats.org/officeDocument/2006/relationships/hyperlink" Target="https://i.ibb.co/dwxBS6gB/Anel.png" TargetMode="External"/><Relationship Id="rId18" Type="http://schemas.openxmlformats.org/officeDocument/2006/relationships/hyperlink" Target="https://i.ibb.co/7xPBffvg/Cord-o.png" TargetMode="External"/><Relationship Id="rId39" Type="http://schemas.openxmlformats.org/officeDocument/2006/relationships/hyperlink" Target="https://i.ibb.co/7xPBffvg/Cord-o.png" TargetMode="External"/><Relationship Id="rId265" Type="http://schemas.openxmlformats.org/officeDocument/2006/relationships/hyperlink" Target="https://i.ibb.co/dwxBS6gB/Anel.png" TargetMode="External"/><Relationship Id="rId286" Type="http://schemas.openxmlformats.org/officeDocument/2006/relationships/hyperlink" Target="https://i.ibb.co/rKrKDHQv/Alian-a.png" TargetMode="External"/><Relationship Id="rId50" Type="http://schemas.openxmlformats.org/officeDocument/2006/relationships/hyperlink" Target="https://i.ibb.co/7xPBffvg/Cord-o.png" TargetMode="External"/><Relationship Id="rId104" Type="http://schemas.openxmlformats.org/officeDocument/2006/relationships/hyperlink" Target="https://i.ibb.co/mFvjYwGq/Ter-o.png" TargetMode="External"/><Relationship Id="rId125" Type="http://schemas.openxmlformats.org/officeDocument/2006/relationships/hyperlink" Target="https://i.ibb.co/fV0tzxFK/Pulseira.png" TargetMode="External"/><Relationship Id="rId146" Type="http://schemas.openxmlformats.org/officeDocument/2006/relationships/hyperlink" Target="https://i.ibb.co/fV0tzxFK/Pulseira.png" TargetMode="External"/><Relationship Id="rId167" Type="http://schemas.openxmlformats.org/officeDocument/2006/relationships/hyperlink" Target="https://i.ibb.co/pDqp3Qn/Escapul-rio.png" TargetMode="External"/><Relationship Id="rId188" Type="http://schemas.openxmlformats.org/officeDocument/2006/relationships/hyperlink" Target="https://i.ibb.co/d44wqwyS/Crucifixo.png" TargetMode="External"/><Relationship Id="rId311" Type="http://schemas.openxmlformats.org/officeDocument/2006/relationships/hyperlink" Target="https://i.ibb.co/sJ5q4DRf/Medalha-de-Letra.png" TargetMode="External"/><Relationship Id="rId332" Type="http://schemas.openxmlformats.org/officeDocument/2006/relationships/hyperlink" Target="https://i.ibb.co/sJ5q4DRf/Medalha-de-Letra.png" TargetMode="External"/><Relationship Id="rId353" Type="http://schemas.openxmlformats.org/officeDocument/2006/relationships/hyperlink" Target="https://i.ibb.co/Txp3DYjx/Pingente-de-S-o-Jorge.png" TargetMode="External"/><Relationship Id="rId374" Type="http://schemas.openxmlformats.org/officeDocument/2006/relationships/hyperlink" Target="https://i.ibb.co/Txp3DYjx/Pingente-de-S-o-Jorge.png" TargetMode="External"/><Relationship Id="rId395" Type="http://schemas.openxmlformats.org/officeDocument/2006/relationships/hyperlink" Target="https://i.ibb.co/sdHXRM0k/Brinco-com-Pedras-Azuis-e-Branca.png" TargetMode="External"/><Relationship Id="rId409" Type="http://schemas.openxmlformats.org/officeDocument/2006/relationships/hyperlink" Target="https://i.ibb.co/BKSYnNXM/Colar.png" TargetMode="External"/><Relationship Id="rId71" Type="http://schemas.openxmlformats.org/officeDocument/2006/relationships/hyperlink" Target="https://i.ibb.co/7xPBffvg/Cord-o.png" TargetMode="External"/><Relationship Id="rId92" Type="http://schemas.openxmlformats.org/officeDocument/2006/relationships/hyperlink" Target="https://i.ibb.co/7xPBffvg/Cord-o.png" TargetMode="External"/><Relationship Id="rId213" Type="http://schemas.openxmlformats.org/officeDocument/2006/relationships/hyperlink" Target="https://i.ibb.co/cXDYTcVZ/Bracelete.png" TargetMode="External"/><Relationship Id="rId234" Type="http://schemas.openxmlformats.org/officeDocument/2006/relationships/hyperlink" Target="https://i.ibb.co/cXDYTcVZ/Bracelete.png" TargetMode="External"/><Relationship Id="rId2" Type="http://schemas.openxmlformats.org/officeDocument/2006/relationships/hyperlink" Target="https://i.ibb.co/cXDYTcVZ/Bracelete.png" TargetMode="External"/><Relationship Id="rId29" Type="http://schemas.openxmlformats.org/officeDocument/2006/relationships/hyperlink" Target="https://i.ibb.co/7xPBffvg/Cord-o.png" TargetMode="External"/><Relationship Id="rId255" Type="http://schemas.openxmlformats.org/officeDocument/2006/relationships/hyperlink" Target="https://i.ibb.co/dwxBS6gB/Anel.png" TargetMode="External"/><Relationship Id="rId276" Type="http://schemas.openxmlformats.org/officeDocument/2006/relationships/hyperlink" Target="https://i.ibb.co/dwxBS6gB/Anel.png" TargetMode="External"/><Relationship Id="rId297" Type="http://schemas.openxmlformats.org/officeDocument/2006/relationships/hyperlink" Target="https://i.ibb.co/rKrKDHQv/Alian-a.png" TargetMode="External"/><Relationship Id="rId40" Type="http://schemas.openxmlformats.org/officeDocument/2006/relationships/hyperlink" Target="https://i.ibb.co/7xPBffvg/Cord-o.png" TargetMode="External"/><Relationship Id="rId115" Type="http://schemas.openxmlformats.org/officeDocument/2006/relationships/hyperlink" Target="https://i.ibb.co/fV0tzxFK/Pulseira.png" TargetMode="External"/><Relationship Id="rId136" Type="http://schemas.openxmlformats.org/officeDocument/2006/relationships/hyperlink" Target="https://i.ibb.co/fV0tzxFK/Pulseira.png" TargetMode="External"/><Relationship Id="rId157" Type="http://schemas.openxmlformats.org/officeDocument/2006/relationships/hyperlink" Target="https://i.ibb.co/fV0tzxFK/Pulseira.png" TargetMode="External"/><Relationship Id="rId178" Type="http://schemas.openxmlformats.org/officeDocument/2006/relationships/hyperlink" Target="https://i.ibb.co/d44wqwyS/Crucifixo.png" TargetMode="External"/><Relationship Id="rId301" Type="http://schemas.openxmlformats.org/officeDocument/2006/relationships/hyperlink" Target="https://i.ibb.co/rKrKDHQv/Alian-a.png" TargetMode="External"/><Relationship Id="rId322" Type="http://schemas.openxmlformats.org/officeDocument/2006/relationships/hyperlink" Target="https://i.ibb.co/sJ5q4DRf/Medalha-de-Letra.png" TargetMode="External"/><Relationship Id="rId343" Type="http://schemas.openxmlformats.org/officeDocument/2006/relationships/hyperlink" Target="https://i.ibb.co/sJ5q4DRf/Medalha-de-Letra.png" TargetMode="External"/><Relationship Id="rId364" Type="http://schemas.openxmlformats.org/officeDocument/2006/relationships/hyperlink" Target="https://i.ibb.co/Txp3DYjx/Pingente-de-S-o-Jorge.png" TargetMode="External"/><Relationship Id="rId61" Type="http://schemas.openxmlformats.org/officeDocument/2006/relationships/hyperlink" Target="https://i.ibb.co/7xPBffvg/Cord-o.png" TargetMode="External"/><Relationship Id="rId82" Type="http://schemas.openxmlformats.org/officeDocument/2006/relationships/hyperlink" Target="https://i.ibb.co/7xPBffvg/Cord-o.png" TargetMode="External"/><Relationship Id="rId199" Type="http://schemas.openxmlformats.org/officeDocument/2006/relationships/hyperlink" Target="https://i.ibb.co/d44wqwyS/Crucifixo.png" TargetMode="External"/><Relationship Id="rId203" Type="http://schemas.openxmlformats.org/officeDocument/2006/relationships/hyperlink" Target="https://i.ibb.co/cXDYTcVZ/Bracelete.png" TargetMode="External"/><Relationship Id="rId385" Type="http://schemas.openxmlformats.org/officeDocument/2006/relationships/hyperlink" Target="https://i.ibb.co/pvy4pQ2x/Argola.png" TargetMode="External"/><Relationship Id="rId19" Type="http://schemas.openxmlformats.org/officeDocument/2006/relationships/hyperlink" Target="https://i.ibb.co/7xPBffvg/Cord-o.png" TargetMode="External"/><Relationship Id="rId224" Type="http://schemas.openxmlformats.org/officeDocument/2006/relationships/hyperlink" Target="https://i.ibb.co/cXDYTcVZ/Bracelete.png" TargetMode="External"/><Relationship Id="rId245" Type="http://schemas.openxmlformats.org/officeDocument/2006/relationships/hyperlink" Target="https://i.ibb.co/dwxBS6gB/Anel.png" TargetMode="External"/><Relationship Id="rId266" Type="http://schemas.openxmlformats.org/officeDocument/2006/relationships/hyperlink" Target="https://i.ibb.co/dwxBS6gB/Anel.png" TargetMode="External"/><Relationship Id="rId287" Type="http://schemas.openxmlformats.org/officeDocument/2006/relationships/hyperlink" Target="https://i.ibb.co/rKrKDHQv/Alian-a.png" TargetMode="External"/><Relationship Id="rId410" Type="http://schemas.openxmlformats.org/officeDocument/2006/relationships/hyperlink" Target="https://i.ibb.co/BKSYnNXM/Colar.png" TargetMode="External"/><Relationship Id="rId30" Type="http://schemas.openxmlformats.org/officeDocument/2006/relationships/hyperlink" Target="https://i.ibb.co/7xPBffvg/Cord-o.png" TargetMode="External"/><Relationship Id="rId105" Type="http://schemas.openxmlformats.org/officeDocument/2006/relationships/hyperlink" Target="https://i.ibb.co/mFvjYwGq/Ter-o.png" TargetMode="External"/><Relationship Id="rId126" Type="http://schemas.openxmlformats.org/officeDocument/2006/relationships/hyperlink" Target="https://i.ibb.co/fV0tzxFK/Pulseira.png" TargetMode="External"/><Relationship Id="rId147" Type="http://schemas.openxmlformats.org/officeDocument/2006/relationships/hyperlink" Target="https://i.ibb.co/fV0tzxFK/Pulseira.png" TargetMode="External"/><Relationship Id="rId168" Type="http://schemas.openxmlformats.org/officeDocument/2006/relationships/hyperlink" Target="https://i.ibb.co/pDqp3Qn/Escapul-rio.png" TargetMode="External"/><Relationship Id="rId312" Type="http://schemas.openxmlformats.org/officeDocument/2006/relationships/hyperlink" Target="https://i.ibb.co/sJ5q4DRf/Medalha-de-Letra.png" TargetMode="External"/><Relationship Id="rId333" Type="http://schemas.openxmlformats.org/officeDocument/2006/relationships/hyperlink" Target="https://i.ibb.co/sJ5q4DRf/Medalha-de-Letra.png" TargetMode="External"/><Relationship Id="rId354" Type="http://schemas.openxmlformats.org/officeDocument/2006/relationships/hyperlink" Target="https://i.ibb.co/Txp3DYjx/Pingente-de-S-o-Jorge.png" TargetMode="External"/><Relationship Id="rId51" Type="http://schemas.openxmlformats.org/officeDocument/2006/relationships/hyperlink" Target="https://i.ibb.co/7xPBffvg/Cord-o.png" TargetMode="External"/><Relationship Id="rId72" Type="http://schemas.openxmlformats.org/officeDocument/2006/relationships/hyperlink" Target="https://i.ibb.co/7xPBffvg/Cord-o.png" TargetMode="External"/><Relationship Id="rId93" Type="http://schemas.openxmlformats.org/officeDocument/2006/relationships/hyperlink" Target="https://i.ibb.co/7xPBffvg/Cord-o.png" TargetMode="External"/><Relationship Id="rId189" Type="http://schemas.openxmlformats.org/officeDocument/2006/relationships/hyperlink" Target="https://i.ibb.co/d44wqwyS/Crucifixo.png" TargetMode="External"/><Relationship Id="rId375" Type="http://schemas.openxmlformats.org/officeDocument/2006/relationships/hyperlink" Target="https://i.ibb.co/Txp3DYjx/Pingente-de-S-o-Jorge.png" TargetMode="External"/><Relationship Id="rId396" Type="http://schemas.openxmlformats.org/officeDocument/2006/relationships/hyperlink" Target="https://i.ibb.co/sdHXRM0k/Brinco-com-Pedras-Azuis-e-Branca.png" TargetMode="External"/><Relationship Id="rId3" Type="http://schemas.openxmlformats.org/officeDocument/2006/relationships/hyperlink" Target="https://i.ibb.co/sdHXRM0k/Brinco-com-Pedras-Azuis-e-Branca.png" TargetMode="External"/><Relationship Id="rId214" Type="http://schemas.openxmlformats.org/officeDocument/2006/relationships/hyperlink" Target="https://i.ibb.co/cXDYTcVZ/Bracelete.png" TargetMode="External"/><Relationship Id="rId235" Type="http://schemas.openxmlformats.org/officeDocument/2006/relationships/hyperlink" Target="https://i.ibb.co/cXDYTcVZ/Bracelete.png" TargetMode="External"/><Relationship Id="rId256" Type="http://schemas.openxmlformats.org/officeDocument/2006/relationships/hyperlink" Target="https://i.ibb.co/dwxBS6gB/Anel.png" TargetMode="External"/><Relationship Id="rId277" Type="http://schemas.openxmlformats.org/officeDocument/2006/relationships/hyperlink" Target="https://i.ibb.co/dwxBS6gB/Anel.png" TargetMode="External"/><Relationship Id="rId298" Type="http://schemas.openxmlformats.org/officeDocument/2006/relationships/hyperlink" Target="https://i.ibb.co/rKrKDHQv/Alian-a.png" TargetMode="External"/><Relationship Id="rId400" Type="http://schemas.openxmlformats.org/officeDocument/2006/relationships/hyperlink" Target="https://i.ibb.co/sdHXRM0k/Brinco-com-Pedras-Azuis-e-Branca.png" TargetMode="External"/><Relationship Id="rId116" Type="http://schemas.openxmlformats.org/officeDocument/2006/relationships/hyperlink" Target="https://i.ibb.co/fV0tzxFK/Pulseira.png" TargetMode="External"/><Relationship Id="rId137" Type="http://schemas.openxmlformats.org/officeDocument/2006/relationships/hyperlink" Target="https://i.ibb.co/fV0tzxFK/Pulseira.png" TargetMode="External"/><Relationship Id="rId158" Type="http://schemas.openxmlformats.org/officeDocument/2006/relationships/hyperlink" Target="https://i.ibb.co/fV0tzxFK/Pulseira.png" TargetMode="External"/><Relationship Id="rId302" Type="http://schemas.openxmlformats.org/officeDocument/2006/relationships/hyperlink" Target="https://i.ibb.co/rKrKDHQv/Alian-a.png" TargetMode="External"/><Relationship Id="rId323" Type="http://schemas.openxmlformats.org/officeDocument/2006/relationships/hyperlink" Target="https://i.ibb.co/sJ5q4DRf/Medalha-de-Letra.png" TargetMode="External"/><Relationship Id="rId344" Type="http://schemas.openxmlformats.org/officeDocument/2006/relationships/hyperlink" Target="https://i.ibb.co/sJ5q4DRf/Medalha-de-Letra.png" TargetMode="External"/><Relationship Id="rId20" Type="http://schemas.openxmlformats.org/officeDocument/2006/relationships/hyperlink" Target="https://i.ibb.co/7xPBffvg/Cord-o.png" TargetMode="External"/><Relationship Id="rId41" Type="http://schemas.openxmlformats.org/officeDocument/2006/relationships/hyperlink" Target="https://i.ibb.co/7xPBffvg/Cord-o.png" TargetMode="External"/><Relationship Id="rId62" Type="http://schemas.openxmlformats.org/officeDocument/2006/relationships/hyperlink" Target="https://i.ibb.co/7xPBffvg/Cord-o.png" TargetMode="External"/><Relationship Id="rId83" Type="http://schemas.openxmlformats.org/officeDocument/2006/relationships/hyperlink" Target="https://i.ibb.co/7xPBffvg/Cord-o.png" TargetMode="External"/><Relationship Id="rId179" Type="http://schemas.openxmlformats.org/officeDocument/2006/relationships/hyperlink" Target="https://i.ibb.co/d44wqwyS/Crucifixo.png" TargetMode="External"/><Relationship Id="rId365" Type="http://schemas.openxmlformats.org/officeDocument/2006/relationships/hyperlink" Target="https://i.ibb.co/Txp3DYjx/Pingente-de-S-o-Jorge.png" TargetMode="External"/><Relationship Id="rId386" Type="http://schemas.openxmlformats.org/officeDocument/2006/relationships/hyperlink" Target="https://i.ibb.co/pvy4pQ2x/Argola.png" TargetMode="External"/><Relationship Id="rId190" Type="http://schemas.openxmlformats.org/officeDocument/2006/relationships/hyperlink" Target="https://i.ibb.co/d44wqwyS/Crucifixo.png" TargetMode="External"/><Relationship Id="rId204" Type="http://schemas.openxmlformats.org/officeDocument/2006/relationships/hyperlink" Target="https://i.ibb.co/cXDYTcVZ/Bracelete.png" TargetMode="External"/><Relationship Id="rId225" Type="http://schemas.openxmlformats.org/officeDocument/2006/relationships/hyperlink" Target="https://i.ibb.co/cXDYTcVZ/Bracelete.png" TargetMode="External"/><Relationship Id="rId246" Type="http://schemas.openxmlformats.org/officeDocument/2006/relationships/hyperlink" Target="https://i.ibb.co/dwxBS6gB/Anel.png" TargetMode="External"/><Relationship Id="rId267" Type="http://schemas.openxmlformats.org/officeDocument/2006/relationships/hyperlink" Target="https://i.ibb.co/dwxBS6gB/Anel.png" TargetMode="External"/><Relationship Id="rId288" Type="http://schemas.openxmlformats.org/officeDocument/2006/relationships/hyperlink" Target="https://i.ibb.co/rKrKDHQv/Alian-a.png" TargetMode="External"/><Relationship Id="rId411" Type="http://schemas.openxmlformats.org/officeDocument/2006/relationships/hyperlink" Target="https://i.ibb.co/BKSYnNXM/Colar.png" TargetMode="External"/><Relationship Id="rId106" Type="http://schemas.openxmlformats.org/officeDocument/2006/relationships/hyperlink" Target="https://i.ibb.co/mFvjYwGq/Ter-o.png" TargetMode="External"/><Relationship Id="rId127" Type="http://schemas.openxmlformats.org/officeDocument/2006/relationships/hyperlink" Target="https://i.ibb.co/fV0tzxFK/Pulseira.png" TargetMode="External"/><Relationship Id="rId313" Type="http://schemas.openxmlformats.org/officeDocument/2006/relationships/hyperlink" Target="https://i.ibb.co/sJ5q4DRf/Medalha-de-Letra.png" TargetMode="External"/><Relationship Id="rId10" Type="http://schemas.openxmlformats.org/officeDocument/2006/relationships/hyperlink" Target="https://i.ibb.co/7xPBffvg/Cord-o.png" TargetMode="External"/><Relationship Id="rId31" Type="http://schemas.openxmlformats.org/officeDocument/2006/relationships/hyperlink" Target="https://i.ibb.co/7xPBffvg/Cord-o.png" TargetMode="External"/><Relationship Id="rId52" Type="http://schemas.openxmlformats.org/officeDocument/2006/relationships/hyperlink" Target="https://i.ibb.co/7xPBffvg/Cord-o.png" TargetMode="External"/><Relationship Id="rId73" Type="http://schemas.openxmlformats.org/officeDocument/2006/relationships/hyperlink" Target="https://i.ibb.co/7xPBffvg/Cord-o.png" TargetMode="External"/><Relationship Id="rId94" Type="http://schemas.openxmlformats.org/officeDocument/2006/relationships/hyperlink" Target="https://i.ibb.co/7xPBffvg/Cord-o.png" TargetMode="External"/><Relationship Id="rId148" Type="http://schemas.openxmlformats.org/officeDocument/2006/relationships/hyperlink" Target="https://i.ibb.co/fV0tzxFK/Pulseira.png" TargetMode="External"/><Relationship Id="rId169" Type="http://schemas.openxmlformats.org/officeDocument/2006/relationships/hyperlink" Target="https://i.ibb.co/pDqp3Qn/Escapul-rio.png" TargetMode="External"/><Relationship Id="rId334" Type="http://schemas.openxmlformats.org/officeDocument/2006/relationships/hyperlink" Target="https://i.ibb.co/sJ5q4DRf/Medalha-de-Letra.png" TargetMode="External"/><Relationship Id="rId355" Type="http://schemas.openxmlformats.org/officeDocument/2006/relationships/hyperlink" Target="https://i.ibb.co/Txp3DYjx/Pingente-de-S-o-Jorge.png" TargetMode="External"/><Relationship Id="rId376" Type="http://schemas.openxmlformats.org/officeDocument/2006/relationships/hyperlink" Target="https://i.ibb.co/Txp3DYjx/Pingente-de-S-o-Jorge.png" TargetMode="External"/><Relationship Id="rId397" Type="http://schemas.openxmlformats.org/officeDocument/2006/relationships/hyperlink" Target="https://i.ibb.co/sdHXRM0k/Brinco-com-Pedras-Azuis-e-Branca.png" TargetMode="External"/><Relationship Id="rId4" Type="http://schemas.openxmlformats.org/officeDocument/2006/relationships/hyperlink" Target="https://i.ibb.co/BKSYnNXM/Colar.png" TargetMode="External"/><Relationship Id="rId180" Type="http://schemas.openxmlformats.org/officeDocument/2006/relationships/hyperlink" Target="https://i.ibb.co/d44wqwyS/Crucifixo.png" TargetMode="External"/><Relationship Id="rId215" Type="http://schemas.openxmlformats.org/officeDocument/2006/relationships/hyperlink" Target="https://i.ibb.co/cXDYTcVZ/Bracelete.png" TargetMode="External"/><Relationship Id="rId236" Type="http://schemas.openxmlformats.org/officeDocument/2006/relationships/hyperlink" Target="https://i.ibb.co/cXDYTcVZ/Bracelete.png" TargetMode="External"/><Relationship Id="rId257" Type="http://schemas.openxmlformats.org/officeDocument/2006/relationships/hyperlink" Target="https://i.ibb.co/dwxBS6gB/Anel.png" TargetMode="External"/><Relationship Id="rId278" Type="http://schemas.openxmlformats.org/officeDocument/2006/relationships/hyperlink" Target="https://i.ibb.co/rKrKDHQv/Alian-a.png" TargetMode="External"/><Relationship Id="rId401" Type="http://schemas.openxmlformats.org/officeDocument/2006/relationships/hyperlink" Target="https://i.ibb.co/sdHXRM0k/Brinco-com-Pedras-Azuis-e-Branca.png" TargetMode="External"/><Relationship Id="rId303" Type="http://schemas.openxmlformats.org/officeDocument/2006/relationships/hyperlink" Target="https://i.ibb.co/rKrKDHQv/Alian-a.png" TargetMode="External"/><Relationship Id="rId42" Type="http://schemas.openxmlformats.org/officeDocument/2006/relationships/hyperlink" Target="https://i.ibb.co/7xPBffvg/Cord-o.png" TargetMode="External"/><Relationship Id="rId84" Type="http://schemas.openxmlformats.org/officeDocument/2006/relationships/hyperlink" Target="https://i.ibb.co/7xPBffvg/Cord-o.png" TargetMode="External"/><Relationship Id="rId138" Type="http://schemas.openxmlformats.org/officeDocument/2006/relationships/hyperlink" Target="https://i.ibb.co/fV0tzxFK/Pulseira.png" TargetMode="External"/><Relationship Id="rId345" Type="http://schemas.openxmlformats.org/officeDocument/2006/relationships/hyperlink" Target="https://i.ibb.co/Txp3DYjx/Pingente-de-S-o-Jorge.png" TargetMode="External"/><Relationship Id="rId387" Type="http://schemas.openxmlformats.org/officeDocument/2006/relationships/hyperlink" Target="https://i.ibb.co/pvy4pQ2x/Argola.png" TargetMode="External"/><Relationship Id="rId191" Type="http://schemas.openxmlformats.org/officeDocument/2006/relationships/hyperlink" Target="https://i.ibb.co/d44wqwyS/Crucifixo.png" TargetMode="External"/><Relationship Id="rId205" Type="http://schemas.openxmlformats.org/officeDocument/2006/relationships/hyperlink" Target="https://i.ibb.co/cXDYTcVZ/Bracelete.png" TargetMode="External"/><Relationship Id="rId247" Type="http://schemas.openxmlformats.org/officeDocument/2006/relationships/hyperlink" Target="https://i.ibb.co/dwxBS6gB/Anel.png" TargetMode="External"/><Relationship Id="rId412" Type="http://schemas.openxmlformats.org/officeDocument/2006/relationships/hyperlink" Target="https://i.ibb.co/BKSYnNXM/Colar.png" TargetMode="External"/><Relationship Id="rId107" Type="http://schemas.openxmlformats.org/officeDocument/2006/relationships/hyperlink" Target="https://i.ibb.co/mFvjYwGq/Ter-o.png" TargetMode="External"/><Relationship Id="rId289" Type="http://schemas.openxmlformats.org/officeDocument/2006/relationships/hyperlink" Target="https://i.ibb.co/rKrKDHQv/Alian-a.png" TargetMode="External"/><Relationship Id="rId11" Type="http://schemas.openxmlformats.org/officeDocument/2006/relationships/hyperlink" Target="https://i.ibb.co/7xPBffvg/Cord-o.png" TargetMode="External"/><Relationship Id="rId53" Type="http://schemas.openxmlformats.org/officeDocument/2006/relationships/hyperlink" Target="https://i.ibb.co/7xPBffvg/Cord-o.png" TargetMode="External"/><Relationship Id="rId149" Type="http://schemas.openxmlformats.org/officeDocument/2006/relationships/hyperlink" Target="https://i.ibb.co/fV0tzxFK/Pulseira.png" TargetMode="External"/><Relationship Id="rId314" Type="http://schemas.openxmlformats.org/officeDocument/2006/relationships/hyperlink" Target="https://i.ibb.co/sJ5q4DRf/Medalha-de-Letra.png" TargetMode="External"/><Relationship Id="rId356" Type="http://schemas.openxmlformats.org/officeDocument/2006/relationships/hyperlink" Target="https://i.ibb.co/Txp3DYjx/Pingente-de-S-o-Jorge.png" TargetMode="External"/><Relationship Id="rId398" Type="http://schemas.openxmlformats.org/officeDocument/2006/relationships/hyperlink" Target="https://i.ibb.co/sdHXRM0k/Brinco-com-Pedras-Azuis-e-Branca.png" TargetMode="External"/><Relationship Id="rId95" Type="http://schemas.openxmlformats.org/officeDocument/2006/relationships/hyperlink" Target="https://i.ibb.co/7xPBffvg/Cord-o.png" TargetMode="External"/><Relationship Id="rId160" Type="http://schemas.openxmlformats.org/officeDocument/2006/relationships/hyperlink" Target="https://i.ibb.co/fV0tzxFK/Pulseira.png" TargetMode="External"/><Relationship Id="rId216" Type="http://schemas.openxmlformats.org/officeDocument/2006/relationships/hyperlink" Target="https://i.ibb.co/cXDYTcVZ/Bracelete.png" TargetMode="External"/><Relationship Id="rId258" Type="http://schemas.openxmlformats.org/officeDocument/2006/relationships/hyperlink" Target="https://i.ibb.co/dwxBS6gB/Anel.png" TargetMode="External"/><Relationship Id="rId22" Type="http://schemas.openxmlformats.org/officeDocument/2006/relationships/hyperlink" Target="https://i.ibb.co/7xPBffvg/Cord-o.png" TargetMode="External"/><Relationship Id="rId64" Type="http://schemas.openxmlformats.org/officeDocument/2006/relationships/hyperlink" Target="https://i.ibb.co/7xPBffvg/Cord-o.png" TargetMode="External"/><Relationship Id="rId118" Type="http://schemas.openxmlformats.org/officeDocument/2006/relationships/hyperlink" Target="https://i.ibb.co/fV0tzxFK/Pulseira.png" TargetMode="External"/><Relationship Id="rId325" Type="http://schemas.openxmlformats.org/officeDocument/2006/relationships/hyperlink" Target="https://i.ibb.co/sJ5q4DRf/Medalha-de-Letra.png" TargetMode="External"/><Relationship Id="rId367" Type="http://schemas.openxmlformats.org/officeDocument/2006/relationships/hyperlink" Target="https://i.ibb.co/Txp3DYjx/Pingente-de-S-o-Jorge.png" TargetMode="External"/><Relationship Id="rId171" Type="http://schemas.openxmlformats.org/officeDocument/2006/relationships/hyperlink" Target="https://i.ibb.co/pDqp3Qn/Escapul-rio.png" TargetMode="External"/><Relationship Id="rId227" Type="http://schemas.openxmlformats.org/officeDocument/2006/relationships/hyperlink" Target="https://i.ibb.co/cXDYTcVZ/Bracelete.png" TargetMode="External"/><Relationship Id="rId269" Type="http://schemas.openxmlformats.org/officeDocument/2006/relationships/hyperlink" Target="https://i.ibb.co/dwxBS6gB/Anel.png" TargetMode="External"/><Relationship Id="rId33" Type="http://schemas.openxmlformats.org/officeDocument/2006/relationships/hyperlink" Target="https://i.ibb.co/7xPBffvg/Cord-o.png" TargetMode="External"/><Relationship Id="rId129" Type="http://schemas.openxmlformats.org/officeDocument/2006/relationships/hyperlink" Target="https://i.ibb.co/fV0tzxFK/Pulseira.png" TargetMode="External"/><Relationship Id="rId280" Type="http://schemas.openxmlformats.org/officeDocument/2006/relationships/hyperlink" Target="https://i.ibb.co/rKrKDHQv/Alian-a.png" TargetMode="External"/><Relationship Id="rId336" Type="http://schemas.openxmlformats.org/officeDocument/2006/relationships/hyperlink" Target="https://i.ibb.co/sJ5q4DRf/Medalha-de-Letra.png" TargetMode="External"/><Relationship Id="rId75" Type="http://schemas.openxmlformats.org/officeDocument/2006/relationships/hyperlink" Target="https://i.ibb.co/7xPBffvg/Cord-o.png" TargetMode="External"/><Relationship Id="rId140" Type="http://schemas.openxmlformats.org/officeDocument/2006/relationships/hyperlink" Target="https://i.ibb.co/fV0tzxFK/Pulseira.png" TargetMode="External"/><Relationship Id="rId182" Type="http://schemas.openxmlformats.org/officeDocument/2006/relationships/hyperlink" Target="https://i.ibb.co/d44wqwyS/Crucifixo.png" TargetMode="External"/><Relationship Id="rId378" Type="http://schemas.openxmlformats.org/officeDocument/2006/relationships/hyperlink" Target="https://i.ibb.co/Txp3DYjx/Pingente-de-S-o-Jorge.png" TargetMode="External"/><Relationship Id="rId403" Type="http://schemas.openxmlformats.org/officeDocument/2006/relationships/hyperlink" Target="https://i.ibb.co/sdHXRM0k/Brinco-com-Pedras-Azuis-e-Branca.png" TargetMode="External"/><Relationship Id="rId6" Type="http://schemas.openxmlformats.org/officeDocument/2006/relationships/hyperlink" Target="https://i.ibb.co/pDqp3Qn/Escapul-rio.png" TargetMode="External"/><Relationship Id="rId238" Type="http://schemas.openxmlformats.org/officeDocument/2006/relationships/hyperlink" Target="https://i.ibb.co/dwxBS6gB/Anel.png" TargetMode="External"/><Relationship Id="rId291" Type="http://schemas.openxmlformats.org/officeDocument/2006/relationships/hyperlink" Target="https://i.ibb.co/rKrKDHQv/Alian-a.png" TargetMode="External"/><Relationship Id="rId305" Type="http://schemas.openxmlformats.org/officeDocument/2006/relationships/hyperlink" Target="https://i.ibb.co/rKrKDHQv/Alian-a.png" TargetMode="External"/><Relationship Id="rId347" Type="http://schemas.openxmlformats.org/officeDocument/2006/relationships/hyperlink" Target="https://i.ibb.co/Txp3DYjx/Pingente-de-S-o-Jorge.png" TargetMode="External"/><Relationship Id="rId44" Type="http://schemas.openxmlformats.org/officeDocument/2006/relationships/hyperlink" Target="https://i.ibb.co/7xPBffvg/Cord-o.png" TargetMode="External"/><Relationship Id="rId86" Type="http://schemas.openxmlformats.org/officeDocument/2006/relationships/hyperlink" Target="https://i.ibb.co/7xPBffvg/Cord-o.png" TargetMode="External"/><Relationship Id="rId151" Type="http://schemas.openxmlformats.org/officeDocument/2006/relationships/hyperlink" Target="https://i.ibb.co/fV0tzxFK/Pulseira.png" TargetMode="External"/><Relationship Id="rId389" Type="http://schemas.openxmlformats.org/officeDocument/2006/relationships/hyperlink" Target="https://i.ibb.co/pvy4pQ2x/Argola.png" TargetMode="External"/><Relationship Id="rId193" Type="http://schemas.openxmlformats.org/officeDocument/2006/relationships/hyperlink" Target="https://i.ibb.co/d44wqwyS/Crucifixo.png" TargetMode="External"/><Relationship Id="rId207" Type="http://schemas.openxmlformats.org/officeDocument/2006/relationships/hyperlink" Target="https://i.ibb.co/cXDYTcVZ/Bracelete.png" TargetMode="External"/><Relationship Id="rId249" Type="http://schemas.openxmlformats.org/officeDocument/2006/relationships/hyperlink" Target="https://i.ibb.co/dwxBS6gB/Anel.png" TargetMode="External"/><Relationship Id="rId414" Type="http://schemas.openxmlformats.org/officeDocument/2006/relationships/hyperlink" Target="https://i.ibb.co/BKSYnNXM/Colar.png" TargetMode="External"/><Relationship Id="rId13" Type="http://schemas.openxmlformats.org/officeDocument/2006/relationships/hyperlink" Target="https://i.ibb.co/7xPBffvg/Cord-o.png" TargetMode="External"/><Relationship Id="rId109" Type="http://schemas.openxmlformats.org/officeDocument/2006/relationships/hyperlink" Target="https://i.ibb.co/mFvjYwGq/Ter-o.png" TargetMode="External"/><Relationship Id="rId260" Type="http://schemas.openxmlformats.org/officeDocument/2006/relationships/hyperlink" Target="https://i.ibb.co/dwxBS6gB/Anel.png" TargetMode="External"/><Relationship Id="rId316" Type="http://schemas.openxmlformats.org/officeDocument/2006/relationships/hyperlink" Target="https://i.ibb.co/sJ5q4DRf/Medalha-de-Letra.png" TargetMode="External"/><Relationship Id="rId55" Type="http://schemas.openxmlformats.org/officeDocument/2006/relationships/hyperlink" Target="https://i.ibb.co/7xPBffvg/Cord-o.png" TargetMode="External"/><Relationship Id="rId97" Type="http://schemas.openxmlformats.org/officeDocument/2006/relationships/hyperlink" Target="https://i.ibb.co/7xPBffvg/Cord-o.png" TargetMode="External"/><Relationship Id="rId120" Type="http://schemas.openxmlformats.org/officeDocument/2006/relationships/hyperlink" Target="https://i.ibb.co/fV0tzxFK/Pulseira.png" TargetMode="External"/><Relationship Id="rId358" Type="http://schemas.openxmlformats.org/officeDocument/2006/relationships/hyperlink" Target="https://i.ibb.co/Txp3DYjx/Pingente-de-S-o-Jorge.png" TargetMode="External"/><Relationship Id="rId162" Type="http://schemas.openxmlformats.org/officeDocument/2006/relationships/hyperlink" Target="https://i.ibb.co/fV0tzxFK/Pulseira.png" TargetMode="External"/><Relationship Id="rId218" Type="http://schemas.openxmlformats.org/officeDocument/2006/relationships/hyperlink" Target="https://i.ibb.co/cXDYTcVZ/Bracelete.png" TargetMode="External"/><Relationship Id="rId271" Type="http://schemas.openxmlformats.org/officeDocument/2006/relationships/hyperlink" Target="https://i.ibb.co/dwxBS6gB/Anel.png" TargetMode="External"/><Relationship Id="rId24" Type="http://schemas.openxmlformats.org/officeDocument/2006/relationships/hyperlink" Target="https://i.ibb.co/7xPBffvg/Cord-o.png" TargetMode="External"/><Relationship Id="rId66" Type="http://schemas.openxmlformats.org/officeDocument/2006/relationships/hyperlink" Target="https://i.ibb.co/7xPBffvg/Cord-o.png" TargetMode="External"/><Relationship Id="rId131" Type="http://schemas.openxmlformats.org/officeDocument/2006/relationships/hyperlink" Target="https://i.ibb.co/fV0tzxFK/Pulseira.png" TargetMode="External"/><Relationship Id="rId327" Type="http://schemas.openxmlformats.org/officeDocument/2006/relationships/hyperlink" Target="https://i.ibb.co/sJ5q4DRf/Medalha-de-Letra.png" TargetMode="External"/><Relationship Id="rId369" Type="http://schemas.openxmlformats.org/officeDocument/2006/relationships/hyperlink" Target="https://i.ibb.co/Txp3DYjx/Pingente-de-S-o-Jorge.png" TargetMode="External"/><Relationship Id="rId173" Type="http://schemas.openxmlformats.org/officeDocument/2006/relationships/hyperlink" Target="https://i.ibb.co/pDqp3Qn/Escapul-rio.png" TargetMode="External"/><Relationship Id="rId229" Type="http://schemas.openxmlformats.org/officeDocument/2006/relationships/hyperlink" Target="https://i.ibb.co/cXDYTcVZ/Bracelete.png" TargetMode="External"/><Relationship Id="rId380" Type="http://schemas.openxmlformats.org/officeDocument/2006/relationships/hyperlink" Target="https://i.ibb.co/Txp3DYjx/Pingente-de-S-o-Jorge.png" TargetMode="External"/><Relationship Id="rId240" Type="http://schemas.openxmlformats.org/officeDocument/2006/relationships/hyperlink" Target="https://i.ibb.co/dwxBS6gB/Anel.png" TargetMode="External"/><Relationship Id="rId35" Type="http://schemas.openxmlformats.org/officeDocument/2006/relationships/hyperlink" Target="https://i.ibb.co/7xPBffvg/Cord-o.png" TargetMode="External"/><Relationship Id="rId77" Type="http://schemas.openxmlformats.org/officeDocument/2006/relationships/hyperlink" Target="https://i.ibb.co/7xPBffvg/Cord-o.png" TargetMode="External"/><Relationship Id="rId100" Type="http://schemas.openxmlformats.org/officeDocument/2006/relationships/hyperlink" Target="https://i.ibb.co/7xPBffvg/Cord-o.png" TargetMode="External"/><Relationship Id="rId282" Type="http://schemas.openxmlformats.org/officeDocument/2006/relationships/hyperlink" Target="https://i.ibb.co/rKrKDHQv/Alian-a.png" TargetMode="External"/><Relationship Id="rId338" Type="http://schemas.openxmlformats.org/officeDocument/2006/relationships/hyperlink" Target="https://i.ibb.co/sJ5q4DRf/Medalha-de-Letra.png" TargetMode="External"/><Relationship Id="rId8" Type="http://schemas.openxmlformats.org/officeDocument/2006/relationships/hyperlink" Target="https://i.ibb.co/Txp3DYjx/Pingente-de-S-o-Jorge.png" TargetMode="External"/><Relationship Id="rId142" Type="http://schemas.openxmlformats.org/officeDocument/2006/relationships/hyperlink" Target="https://i.ibb.co/fV0tzxFK/Pulseira.png" TargetMode="External"/><Relationship Id="rId184" Type="http://schemas.openxmlformats.org/officeDocument/2006/relationships/hyperlink" Target="https://i.ibb.co/d44wqwyS/Crucifixo.png" TargetMode="External"/><Relationship Id="rId391" Type="http://schemas.openxmlformats.org/officeDocument/2006/relationships/hyperlink" Target="https://i.ibb.co/pvy4pQ2x/Argola.png" TargetMode="External"/><Relationship Id="rId405" Type="http://schemas.openxmlformats.org/officeDocument/2006/relationships/hyperlink" Target="https://i.ibb.co/sdHXRM0k/Brinco-com-Pedras-Azuis-e-Branca.png" TargetMode="External"/><Relationship Id="rId251" Type="http://schemas.openxmlformats.org/officeDocument/2006/relationships/hyperlink" Target="https://i.ibb.co/dwxBS6gB/Anel.png" TargetMode="External"/><Relationship Id="rId46" Type="http://schemas.openxmlformats.org/officeDocument/2006/relationships/hyperlink" Target="https://i.ibb.co/7xPBffvg/Cord-o.png" TargetMode="External"/><Relationship Id="rId293" Type="http://schemas.openxmlformats.org/officeDocument/2006/relationships/hyperlink" Target="https://i.ibb.co/rKrKDHQv/Alian-a.png" TargetMode="External"/><Relationship Id="rId307" Type="http://schemas.openxmlformats.org/officeDocument/2006/relationships/hyperlink" Target="https://i.ibb.co/rKrKDHQv/Alian-a.png" TargetMode="External"/><Relationship Id="rId349" Type="http://schemas.openxmlformats.org/officeDocument/2006/relationships/hyperlink" Target="https://i.ibb.co/Txp3DYjx/Pingente-de-S-o-Jorge.png" TargetMode="External"/><Relationship Id="rId88" Type="http://schemas.openxmlformats.org/officeDocument/2006/relationships/hyperlink" Target="https://i.ibb.co/7xPBffvg/Cord-o.png" TargetMode="External"/><Relationship Id="rId111" Type="http://schemas.openxmlformats.org/officeDocument/2006/relationships/hyperlink" Target="https://i.ibb.co/mFvjYwGq/Ter-o.png" TargetMode="External"/><Relationship Id="rId153" Type="http://schemas.openxmlformats.org/officeDocument/2006/relationships/hyperlink" Target="https://i.ibb.co/fV0tzxFK/Pulseira.png" TargetMode="External"/><Relationship Id="rId195" Type="http://schemas.openxmlformats.org/officeDocument/2006/relationships/hyperlink" Target="https://i.ibb.co/d44wqwyS/Crucifixo.png" TargetMode="External"/><Relationship Id="rId209" Type="http://schemas.openxmlformats.org/officeDocument/2006/relationships/hyperlink" Target="https://i.ibb.co/cXDYTcVZ/Bracelete.png" TargetMode="External"/><Relationship Id="rId360" Type="http://schemas.openxmlformats.org/officeDocument/2006/relationships/hyperlink" Target="https://i.ibb.co/Txp3DYjx/Pingente-de-S-o-Jorge.png" TargetMode="External"/><Relationship Id="rId416" Type="http://schemas.openxmlformats.org/officeDocument/2006/relationships/hyperlink" Target="https://i.ibb.co/BKSYnNXM/Colar.png" TargetMode="External"/><Relationship Id="rId220" Type="http://schemas.openxmlformats.org/officeDocument/2006/relationships/hyperlink" Target="https://i.ibb.co/cXDYTcVZ/Bracelete.png" TargetMode="External"/><Relationship Id="rId15" Type="http://schemas.openxmlformats.org/officeDocument/2006/relationships/hyperlink" Target="https://i.ibb.co/7xPBffvg/Cord-o.png" TargetMode="External"/><Relationship Id="rId57" Type="http://schemas.openxmlformats.org/officeDocument/2006/relationships/hyperlink" Target="https://i.ibb.co/7xPBffvg/Cord-o.png" TargetMode="External"/><Relationship Id="rId262" Type="http://schemas.openxmlformats.org/officeDocument/2006/relationships/hyperlink" Target="https://i.ibb.co/dwxBS6gB/Anel.png" TargetMode="External"/><Relationship Id="rId318" Type="http://schemas.openxmlformats.org/officeDocument/2006/relationships/hyperlink" Target="https://i.ibb.co/sJ5q4DRf/Medalha-de-Letra.png" TargetMode="External"/><Relationship Id="rId99" Type="http://schemas.openxmlformats.org/officeDocument/2006/relationships/hyperlink" Target="https://i.ibb.co/7xPBffvg/Cord-o.png" TargetMode="External"/><Relationship Id="rId122" Type="http://schemas.openxmlformats.org/officeDocument/2006/relationships/hyperlink" Target="https://i.ibb.co/fV0tzxFK/Pulseira.png" TargetMode="External"/><Relationship Id="rId164" Type="http://schemas.openxmlformats.org/officeDocument/2006/relationships/hyperlink" Target="https://i.ibb.co/fV0tzxFK/Pulseira.png" TargetMode="External"/><Relationship Id="rId371" Type="http://schemas.openxmlformats.org/officeDocument/2006/relationships/hyperlink" Target="https://i.ibb.co/Txp3DYjx/Pingente-de-S-o-Jorge.png" TargetMode="External"/><Relationship Id="rId26" Type="http://schemas.openxmlformats.org/officeDocument/2006/relationships/hyperlink" Target="https://i.ibb.co/7xPBffvg/Cord-o.png" TargetMode="External"/><Relationship Id="rId231" Type="http://schemas.openxmlformats.org/officeDocument/2006/relationships/hyperlink" Target="https://i.ibb.co/cXDYTcVZ/Bracelete.png" TargetMode="External"/><Relationship Id="rId273" Type="http://schemas.openxmlformats.org/officeDocument/2006/relationships/hyperlink" Target="https://i.ibb.co/dwxBS6gB/Anel.png" TargetMode="External"/><Relationship Id="rId329" Type="http://schemas.openxmlformats.org/officeDocument/2006/relationships/hyperlink" Target="https://i.ibb.co/sJ5q4DRf/Medalha-de-Letra.png" TargetMode="External"/><Relationship Id="rId68" Type="http://schemas.openxmlformats.org/officeDocument/2006/relationships/hyperlink" Target="https://i.ibb.co/7xPBffvg/Cord-o.png" TargetMode="External"/><Relationship Id="rId133" Type="http://schemas.openxmlformats.org/officeDocument/2006/relationships/hyperlink" Target="https://i.ibb.co/fV0tzxFK/Pulseira.png" TargetMode="External"/><Relationship Id="rId175" Type="http://schemas.openxmlformats.org/officeDocument/2006/relationships/hyperlink" Target="https://i.ibb.co/d44wqwyS/Crucifixo.png" TargetMode="External"/><Relationship Id="rId340" Type="http://schemas.openxmlformats.org/officeDocument/2006/relationships/hyperlink" Target="https://i.ibb.co/sJ5q4DRf/Medalha-de-Letra.png" TargetMode="External"/><Relationship Id="rId200" Type="http://schemas.openxmlformats.org/officeDocument/2006/relationships/hyperlink" Target="https://i.ibb.co/cXDYTcVZ/Bracelete.png" TargetMode="External"/><Relationship Id="rId382" Type="http://schemas.openxmlformats.org/officeDocument/2006/relationships/hyperlink" Target="https://i.ibb.co/pvy4pQ2x/Argola.png" TargetMode="External"/><Relationship Id="rId242" Type="http://schemas.openxmlformats.org/officeDocument/2006/relationships/hyperlink" Target="https://i.ibb.co/dwxBS6gB/Anel.png" TargetMode="External"/><Relationship Id="rId284" Type="http://schemas.openxmlformats.org/officeDocument/2006/relationships/hyperlink" Target="https://i.ibb.co/rKrKDHQv/Alian-a.png" TargetMode="External"/><Relationship Id="rId37" Type="http://schemas.openxmlformats.org/officeDocument/2006/relationships/hyperlink" Target="https://i.ibb.co/7xPBffvg/Cord-o.png" TargetMode="External"/><Relationship Id="rId79" Type="http://schemas.openxmlformats.org/officeDocument/2006/relationships/hyperlink" Target="https://i.ibb.co/7xPBffvg/Cord-o.png" TargetMode="External"/><Relationship Id="rId102" Type="http://schemas.openxmlformats.org/officeDocument/2006/relationships/hyperlink" Target="https://i.ibb.co/7xPBffvg/Cord-o.png" TargetMode="External"/><Relationship Id="rId144" Type="http://schemas.openxmlformats.org/officeDocument/2006/relationships/hyperlink" Target="https://i.ibb.co/fV0tzxFK/Pulseira.png" TargetMode="External"/><Relationship Id="rId90" Type="http://schemas.openxmlformats.org/officeDocument/2006/relationships/hyperlink" Target="https://i.ibb.co/7xPBffvg/Cord-o.png" TargetMode="External"/><Relationship Id="rId186" Type="http://schemas.openxmlformats.org/officeDocument/2006/relationships/hyperlink" Target="https://i.ibb.co/d44wqwyS/Crucifixo.png" TargetMode="External"/><Relationship Id="rId351" Type="http://schemas.openxmlformats.org/officeDocument/2006/relationships/hyperlink" Target="https://i.ibb.co/Txp3DYjx/Pingente-de-S-o-Jorge.png" TargetMode="External"/><Relationship Id="rId393" Type="http://schemas.openxmlformats.org/officeDocument/2006/relationships/hyperlink" Target="https://i.ibb.co/pvy4pQ2x/Argola.png" TargetMode="External"/><Relationship Id="rId407" Type="http://schemas.openxmlformats.org/officeDocument/2006/relationships/hyperlink" Target="https://i.ibb.co/sdHXRM0k/Brinco-com-Pedras-Azuis-e-Branca.png" TargetMode="External"/><Relationship Id="rId211" Type="http://schemas.openxmlformats.org/officeDocument/2006/relationships/hyperlink" Target="https://i.ibb.co/cXDYTcVZ/Bracelete.png" TargetMode="External"/><Relationship Id="rId253" Type="http://schemas.openxmlformats.org/officeDocument/2006/relationships/hyperlink" Target="https://i.ibb.co/dwxBS6gB/Anel.png" TargetMode="External"/><Relationship Id="rId295" Type="http://schemas.openxmlformats.org/officeDocument/2006/relationships/hyperlink" Target="https://i.ibb.co/rKrKDHQv/Alian-a.png" TargetMode="External"/><Relationship Id="rId309" Type="http://schemas.openxmlformats.org/officeDocument/2006/relationships/hyperlink" Target="https://i.ibb.co/sJ5q4DRf/Medalha-de-Letra.png" TargetMode="External"/><Relationship Id="rId48" Type="http://schemas.openxmlformats.org/officeDocument/2006/relationships/hyperlink" Target="https://i.ibb.co/7xPBffvg/Cord-o.png" TargetMode="External"/><Relationship Id="rId113" Type="http://schemas.openxmlformats.org/officeDocument/2006/relationships/hyperlink" Target="https://i.ibb.co/fV0tzxFK/Pulseira.png" TargetMode="External"/><Relationship Id="rId320" Type="http://schemas.openxmlformats.org/officeDocument/2006/relationships/hyperlink" Target="https://i.ibb.co/sJ5q4DRf/Medalha-de-Letra.png" TargetMode="External"/><Relationship Id="rId155" Type="http://schemas.openxmlformats.org/officeDocument/2006/relationships/hyperlink" Target="https://i.ibb.co/fV0tzxFK/Pulseira.png" TargetMode="External"/><Relationship Id="rId197" Type="http://schemas.openxmlformats.org/officeDocument/2006/relationships/hyperlink" Target="https://i.ibb.co/d44wqwyS/Crucifixo.png" TargetMode="External"/><Relationship Id="rId362" Type="http://schemas.openxmlformats.org/officeDocument/2006/relationships/hyperlink" Target="https://i.ibb.co/Txp3DYjx/Pingente-de-S-o-Jorge.png" TargetMode="External"/><Relationship Id="rId418" Type="http://schemas.openxmlformats.org/officeDocument/2006/relationships/hyperlink" Target="https://i.ibb.co/BKSYnNXM/Col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1919-54FF-43CE-BD61-31AC7C136973}">
  <dimension ref="A1:O572"/>
  <sheetViews>
    <sheetView tabSelected="1" topLeftCell="A554" workbookViewId="0">
      <selection activeCell="A573" sqref="A573:O573"/>
    </sheetView>
  </sheetViews>
  <sheetFormatPr defaultRowHeight="15"/>
  <cols>
    <col min="1" max="1" width="40.85546875" bestFit="1" customWidth="1"/>
    <col min="2" max="2" width="15.140625" bestFit="1" customWidth="1"/>
    <col min="3" max="3" width="14.5703125" bestFit="1" customWidth="1"/>
    <col min="4" max="4" width="12" bestFit="1" customWidth="1"/>
    <col min="5" max="5" width="10.42578125" bestFit="1" customWidth="1"/>
    <col min="6" max="6" width="23.140625" bestFit="1" customWidth="1"/>
    <col min="7" max="7" width="23.140625" customWidth="1"/>
    <col min="8" max="8" width="16" bestFit="1" customWidth="1"/>
    <col min="9" max="9" width="19" bestFit="1" customWidth="1"/>
    <col min="10" max="10" width="18.7109375" customWidth="1"/>
    <col min="11" max="11" width="13" customWidth="1"/>
    <col min="12" max="12" width="13.7109375" hidden="1" customWidth="1"/>
    <col min="13" max="13" width="25.140625" customWidth="1"/>
    <col min="14" max="14" width="17.85546875" customWidth="1"/>
    <col min="15" max="15" width="63.28515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s="1">
        <v>42094</v>
      </c>
      <c r="F2" t="s">
        <v>19</v>
      </c>
      <c r="G2" t="str">
        <f ca="1">VLOOKUP(RAND(),{0,"Lucas";0.39,"Roberto";0.63,"Carla";0.78,"Pedro";0.93,"Emilly"},2,TRUE)</f>
        <v>Emilly</v>
      </c>
      <c r="H2">
        <v>1</v>
      </c>
      <c r="I2">
        <v>3800</v>
      </c>
      <c r="J2">
        <v>0.4</v>
      </c>
      <c r="K2">
        <f>PRODUCT(TabelaVendas1__2[[#This Row],[Valor_UnitarioXQtd]],TabelaVendas1__2[[#This Row],[Percentual_Lucro]])</f>
        <v>1520</v>
      </c>
      <c r="L2">
        <v>3800</v>
      </c>
      <c r="M2">
        <f>PRODUCT(TabelaVendas1__2[[#This Row],[Quantidade]],TabelaVendas1__2[[#This Row],[Valor_Unitario]])</f>
        <v>3800</v>
      </c>
      <c r="N2">
        <f>SUM(TabelaVendas1__2[[#This Row],[Valor_UnitarioXQtd]],TabelaVendas1__2[[#This Row],[Valor_Lucro]])</f>
        <v>5320</v>
      </c>
      <c r="O2" s="2" t="s">
        <v>20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s="1">
        <v>42122</v>
      </c>
      <c r="F3" t="s">
        <v>19</v>
      </c>
      <c r="G3" t="str">
        <f ca="1">VLOOKUP(RAND(),{0,"Lucas";0.39,"Roberto";0.63,"Carla";0.78,"Pedro";0.93,"Emilly"},2,TRUE)</f>
        <v>Lucas</v>
      </c>
      <c r="H3">
        <v>1</v>
      </c>
      <c r="I3">
        <v>3490</v>
      </c>
      <c r="J3">
        <v>0.4</v>
      </c>
      <c r="K3">
        <f>PRODUCT(TabelaVendas1__2[[#This Row],[Valor_UnitarioXQtd]],TabelaVendas1__2[[#This Row],[Percentual_Lucro]])</f>
        <v>1396</v>
      </c>
      <c r="L3">
        <v>3490</v>
      </c>
      <c r="M3">
        <f>PRODUCT(TabelaVendas1__2[[#This Row],[Quantidade]],TabelaVendas1__2[[#This Row],[Valor_Unitario]])</f>
        <v>3490</v>
      </c>
      <c r="N3">
        <f>SUM(TabelaVendas1__2[[#This Row],[Valor_UnitarioXQtd]],TabelaVendas1__2[[#This Row],[Valor_Lucro]])</f>
        <v>4886</v>
      </c>
      <c r="O3" s="2" t="s">
        <v>25</v>
      </c>
    </row>
    <row r="4" spans="1:15">
      <c r="A4" t="s">
        <v>26</v>
      </c>
      <c r="B4" t="s">
        <v>22</v>
      </c>
      <c r="C4" t="s">
        <v>23</v>
      </c>
      <c r="D4" t="s">
        <v>18</v>
      </c>
      <c r="E4" s="1">
        <v>42122</v>
      </c>
      <c r="F4" t="s">
        <v>27</v>
      </c>
      <c r="G4" t="str">
        <f ca="1">VLOOKUP(RAND(),{0,"Lucas";0.39,"Roberto";0.63,"Carla";0.78,"Pedro";0.93,"Emilly"},2,TRUE)</f>
        <v>Lucas</v>
      </c>
      <c r="H4">
        <v>1</v>
      </c>
      <c r="I4">
        <v>4200</v>
      </c>
      <c r="J4">
        <v>0.4</v>
      </c>
      <c r="K4">
        <f>PRODUCT(TabelaVendas1__2[[#This Row],[Valor_UnitarioXQtd]],TabelaVendas1__2[[#This Row],[Percentual_Lucro]])</f>
        <v>1680</v>
      </c>
      <c r="L4">
        <v>4200</v>
      </c>
      <c r="M4">
        <f>PRODUCT(TabelaVendas1__2[[#This Row],[Quantidade]],TabelaVendas1__2[[#This Row],[Valor_Unitario]])</f>
        <v>4200</v>
      </c>
      <c r="N4">
        <f>SUM(TabelaVendas1__2[[#This Row],[Valor_UnitarioXQtd]],TabelaVendas1__2[[#This Row],[Valor_Lucro]])</f>
        <v>5880</v>
      </c>
      <c r="O4" s="2" t="s">
        <v>20</v>
      </c>
    </row>
    <row r="5" spans="1:15">
      <c r="A5" t="s">
        <v>28</v>
      </c>
      <c r="B5" t="s">
        <v>16</v>
      </c>
      <c r="C5" t="s">
        <v>17</v>
      </c>
      <c r="D5" t="s">
        <v>29</v>
      </c>
      <c r="E5" s="1">
        <v>42122</v>
      </c>
      <c r="F5" t="s">
        <v>30</v>
      </c>
      <c r="G5" t="str">
        <f ca="1">VLOOKUP(RAND(),{0,"Lucas";0.39,"Roberto";0.63,"Carla";0.78,"Pedro";0.93,"Emilly"},2,TRUE)</f>
        <v>Roberto</v>
      </c>
      <c r="H5">
        <v>1</v>
      </c>
      <c r="I5">
        <v>2200</v>
      </c>
      <c r="J5">
        <v>0.4</v>
      </c>
      <c r="K5">
        <f>PRODUCT(TabelaVendas1__2[[#This Row],[Valor_UnitarioXQtd]],TabelaVendas1__2[[#This Row],[Percentual_Lucro]])</f>
        <v>880</v>
      </c>
      <c r="L5">
        <v>2200</v>
      </c>
      <c r="M5">
        <f>PRODUCT(TabelaVendas1__2[[#This Row],[Quantidade]],TabelaVendas1__2[[#This Row],[Valor_Unitario]])</f>
        <v>2200</v>
      </c>
      <c r="N5">
        <f>SUM(TabelaVendas1__2[[#This Row],[Valor_UnitarioXQtd]],TabelaVendas1__2[[#This Row],[Valor_Lucro]])</f>
        <v>3080</v>
      </c>
      <c r="O5" s="2" t="s">
        <v>31</v>
      </c>
    </row>
    <row r="6" spans="1:15">
      <c r="A6" t="s">
        <v>32</v>
      </c>
      <c r="B6" t="s">
        <v>22</v>
      </c>
      <c r="C6" t="s">
        <v>33</v>
      </c>
      <c r="D6" t="s">
        <v>34</v>
      </c>
      <c r="E6" s="1">
        <v>42122</v>
      </c>
      <c r="F6" t="s">
        <v>19</v>
      </c>
      <c r="G6" t="str">
        <f ca="1">VLOOKUP(RAND(),{0,"Lucas";0.39,"Roberto";0.63,"Carla";0.78,"Pedro";0.93,"Emilly"},2,TRUE)</f>
        <v>Roberto</v>
      </c>
      <c r="H6">
        <v>1</v>
      </c>
      <c r="I6">
        <v>1680</v>
      </c>
      <c r="J6">
        <v>0.4</v>
      </c>
      <c r="K6">
        <f>PRODUCT(TabelaVendas1__2[[#This Row],[Valor_UnitarioXQtd]],TabelaVendas1__2[[#This Row],[Percentual_Lucro]])</f>
        <v>672</v>
      </c>
      <c r="L6">
        <v>1680</v>
      </c>
      <c r="M6">
        <f>PRODUCT(TabelaVendas1__2[[#This Row],[Quantidade]],TabelaVendas1__2[[#This Row],[Valor_Unitario]])</f>
        <v>1680</v>
      </c>
      <c r="N6">
        <f>SUM(TabelaVendas1__2[[#This Row],[Valor_UnitarioXQtd]],TabelaVendas1__2[[#This Row],[Valor_Lucro]])</f>
        <v>2352</v>
      </c>
      <c r="O6" s="2" t="s">
        <v>35</v>
      </c>
    </row>
    <row r="7" spans="1:15">
      <c r="A7" t="s">
        <v>36</v>
      </c>
      <c r="B7" t="s">
        <v>22</v>
      </c>
      <c r="C7" t="s">
        <v>23</v>
      </c>
      <c r="D7" t="s">
        <v>37</v>
      </c>
      <c r="E7" s="1">
        <v>42122</v>
      </c>
      <c r="F7" t="s">
        <v>19</v>
      </c>
      <c r="G7" t="str">
        <f ca="1">VLOOKUP(RAND(),{0,"Lucas";0.39,"Roberto";0.63,"Carla";0.78,"Pedro";0.93,"Emilly"},2,TRUE)</f>
        <v>Roberto</v>
      </c>
      <c r="H7">
        <v>1</v>
      </c>
      <c r="I7">
        <v>1251</v>
      </c>
      <c r="J7">
        <v>0.4</v>
      </c>
      <c r="K7">
        <f>PRODUCT(TabelaVendas1__2[[#This Row],[Valor_UnitarioXQtd]],TabelaVendas1__2[[#This Row],[Percentual_Lucro]])</f>
        <v>500.40000000000003</v>
      </c>
      <c r="L7">
        <v>1251</v>
      </c>
      <c r="M7">
        <f>PRODUCT(TabelaVendas1__2[[#This Row],[Quantidade]],TabelaVendas1__2[[#This Row],[Valor_Unitario]])</f>
        <v>1251</v>
      </c>
      <c r="N7">
        <f>SUM(TabelaVendas1__2[[#This Row],[Valor_UnitarioXQtd]],TabelaVendas1__2[[#This Row],[Valor_Lucro]])</f>
        <v>1751.4</v>
      </c>
      <c r="O7" s="2" t="s">
        <v>38</v>
      </c>
    </row>
    <row r="8" spans="1:15">
      <c r="A8" t="s">
        <v>15</v>
      </c>
      <c r="B8" t="s">
        <v>22</v>
      </c>
      <c r="C8" t="s">
        <v>23</v>
      </c>
      <c r="D8" t="s">
        <v>18</v>
      </c>
      <c r="E8" s="1">
        <v>42122</v>
      </c>
      <c r="F8" t="s">
        <v>30</v>
      </c>
      <c r="G8" t="str">
        <f ca="1">VLOOKUP(RAND(),{0,"Lucas";0.39,"Roberto";0.63,"Carla";0.78,"Pedro";0.93,"Emilly"},2,TRUE)</f>
        <v>Lucas</v>
      </c>
      <c r="H8">
        <v>1</v>
      </c>
      <c r="I8">
        <v>2800</v>
      </c>
      <c r="J8">
        <v>0.4</v>
      </c>
      <c r="K8">
        <f>PRODUCT(TabelaVendas1__2[[#This Row],[Valor_UnitarioXQtd]],TabelaVendas1__2[[#This Row],[Percentual_Lucro]])</f>
        <v>1120</v>
      </c>
      <c r="L8">
        <v>2800</v>
      </c>
      <c r="M8">
        <f>PRODUCT(TabelaVendas1__2[[#This Row],[Quantidade]],TabelaVendas1__2[[#This Row],[Valor_Unitario]])</f>
        <v>2800</v>
      </c>
      <c r="N8">
        <f>SUM(TabelaVendas1__2[[#This Row],[Valor_UnitarioXQtd]],TabelaVendas1__2[[#This Row],[Valor_Lucro]])</f>
        <v>3920</v>
      </c>
      <c r="O8" s="2" t="s">
        <v>20</v>
      </c>
    </row>
    <row r="9" spans="1:15">
      <c r="A9" t="s">
        <v>39</v>
      </c>
      <c r="B9" t="s">
        <v>22</v>
      </c>
      <c r="C9" t="s">
        <v>23</v>
      </c>
      <c r="D9" t="s">
        <v>37</v>
      </c>
      <c r="E9" s="1">
        <v>42151</v>
      </c>
      <c r="F9" t="s">
        <v>19</v>
      </c>
      <c r="G9" t="str">
        <f ca="1">VLOOKUP(RAND(),{0,"Lucas";0.39,"Roberto";0.63,"Carla";0.78,"Pedro";0.93,"Emilly"},2,TRUE)</f>
        <v>Lucas</v>
      </c>
      <c r="H9">
        <v>1</v>
      </c>
      <c r="I9">
        <v>1200</v>
      </c>
      <c r="J9">
        <v>0.4</v>
      </c>
      <c r="K9">
        <f>PRODUCT(TabelaVendas1__2[[#This Row],[Valor_UnitarioXQtd]],TabelaVendas1__2[[#This Row],[Percentual_Lucro]])</f>
        <v>480</v>
      </c>
      <c r="L9">
        <v>1200</v>
      </c>
      <c r="M9">
        <f>PRODUCT(TabelaVendas1__2[[#This Row],[Quantidade]],TabelaVendas1__2[[#This Row],[Valor_Unitario]])</f>
        <v>1200</v>
      </c>
      <c r="N9">
        <f>SUM(TabelaVendas1__2[[#This Row],[Valor_UnitarioXQtd]],TabelaVendas1__2[[#This Row],[Valor_Lucro]])</f>
        <v>1680</v>
      </c>
      <c r="O9" s="2" t="s">
        <v>38</v>
      </c>
    </row>
    <row r="10" spans="1:15">
      <c r="A10" t="s">
        <v>40</v>
      </c>
      <c r="B10" t="s">
        <v>22</v>
      </c>
      <c r="C10" t="s">
        <v>23</v>
      </c>
      <c r="D10" t="s">
        <v>24</v>
      </c>
      <c r="E10" s="1">
        <v>42151</v>
      </c>
      <c r="F10" t="s">
        <v>30</v>
      </c>
      <c r="G10" t="str">
        <f ca="1">VLOOKUP(RAND(),{0,"Lucas";0.39,"Roberto";0.63,"Carla";0.78,"Pedro";0.93,"Emilly"},2,TRUE)</f>
        <v>Roberto</v>
      </c>
      <c r="H10">
        <v>1</v>
      </c>
      <c r="I10">
        <v>2700</v>
      </c>
      <c r="J10">
        <v>0.4</v>
      </c>
      <c r="K10">
        <f>PRODUCT(TabelaVendas1__2[[#This Row],[Valor_UnitarioXQtd]],TabelaVendas1__2[[#This Row],[Percentual_Lucro]])</f>
        <v>1080</v>
      </c>
      <c r="L10">
        <v>2700</v>
      </c>
      <c r="M10">
        <f>PRODUCT(TabelaVendas1__2[[#This Row],[Quantidade]],TabelaVendas1__2[[#This Row],[Valor_Unitario]])</f>
        <v>2700</v>
      </c>
      <c r="N10">
        <f>SUM(TabelaVendas1__2[[#This Row],[Valor_UnitarioXQtd]],TabelaVendas1__2[[#This Row],[Valor_Lucro]])</f>
        <v>3780</v>
      </c>
      <c r="O10" s="2" t="s">
        <v>25</v>
      </c>
    </row>
    <row r="11" spans="1:15">
      <c r="A11" t="s">
        <v>41</v>
      </c>
      <c r="B11" t="s">
        <v>22</v>
      </c>
      <c r="C11" t="s">
        <v>23</v>
      </c>
      <c r="D11" t="s">
        <v>42</v>
      </c>
      <c r="E11" s="1">
        <v>42151</v>
      </c>
      <c r="F11" t="s">
        <v>27</v>
      </c>
      <c r="G11" t="str">
        <f ca="1">VLOOKUP(RAND(),{0,"Lucas";0.39,"Roberto";0.63,"Carla";0.78,"Pedro";0.93,"Emilly"},2,TRUE)</f>
        <v>Lucas</v>
      </c>
      <c r="H11">
        <v>3</v>
      </c>
      <c r="I11">
        <v>1030</v>
      </c>
      <c r="J11">
        <v>0.4</v>
      </c>
      <c r="K11">
        <f>PRODUCT(TabelaVendas1__2[[#This Row],[Valor_UnitarioXQtd]],TabelaVendas1__2[[#This Row],[Percentual_Lucro]])</f>
        <v>1236</v>
      </c>
      <c r="L11">
        <v>3090</v>
      </c>
      <c r="M11">
        <f>PRODUCT(TabelaVendas1__2[[#This Row],[Quantidade]],TabelaVendas1__2[[#This Row],[Valor_Unitario]])</f>
        <v>3090</v>
      </c>
      <c r="N11">
        <f>SUM(TabelaVendas1__2[[#This Row],[Valor_UnitarioXQtd]],TabelaVendas1__2[[#This Row],[Valor_Lucro]])</f>
        <v>4326</v>
      </c>
      <c r="O11" s="2" t="s">
        <v>43</v>
      </c>
    </row>
    <row r="12" spans="1:15">
      <c r="A12" t="s">
        <v>44</v>
      </c>
      <c r="B12" t="s">
        <v>16</v>
      </c>
      <c r="C12" t="s">
        <v>17</v>
      </c>
      <c r="D12" t="s">
        <v>42</v>
      </c>
      <c r="E12" s="1">
        <v>42151</v>
      </c>
      <c r="F12" t="s">
        <v>30</v>
      </c>
      <c r="G12" t="str">
        <f ca="1">VLOOKUP(RAND(),{0,"Lucas";0.39,"Roberto";0.63,"Carla";0.78,"Pedro";0.93,"Emilly"},2,TRUE)</f>
        <v>Emilly</v>
      </c>
      <c r="H12">
        <v>1</v>
      </c>
      <c r="I12">
        <v>1350</v>
      </c>
      <c r="J12">
        <v>0.4</v>
      </c>
      <c r="K12">
        <f>PRODUCT(TabelaVendas1__2[[#This Row],[Valor_UnitarioXQtd]],TabelaVendas1__2[[#This Row],[Percentual_Lucro]])</f>
        <v>540</v>
      </c>
      <c r="L12">
        <v>1350</v>
      </c>
      <c r="M12">
        <f>PRODUCT(TabelaVendas1__2[[#This Row],[Quantidade]],TabelaVendas1__2[[#This Row],[Valor_Unitario]])</f>
        <v>1350</v>
      </c>
      <c r="N12">
        <f>SUM(TabelaVendas1__2[[#This Row],[Valor_UnitarioXQtd]],TabelaVendas1__2[[#This Row],[Valor_Lucro]])</f>
        <v>1890</v>
      </c>
      <c r="O12" s="2" t="s">
        <v>43</v>
      </c>
    </row>
    <row r="13" spans="1:15">
      <c r="A13" t="s">
        <v>44</v>
      </c>
      <c r="B13" t="s">
        <v>16</v>
      </c>
      <c r="C13" t="s">
        <v>17</v>
      </c>
      <c r="D13" t="s">
        <v>42</v>
      </c>
      <c r="E13" s="1">
        <v>42151</v>
      </c>
      <c r="F13" t="s">
        <v>27</v>
      </c>
      <c r="G13" t="str">
        <f ca="1">VLOOKUP(RAND(),{0,"Lucas";0.39,"Roberto";0.63,"Carla";0.78,"Pedro";0.93,"Emilly"},2,TRUE)</f>
        <v>Carla</v>
      </c>
      <c r="H13">
        <v>1</v>
      </c>
      <c r="I13">
        <v>1350</v>
      </c>
      <c r="J13">
        <v>0.4</v>
      </c>
      <c r="K13">
        <f>PRODUCT(TabelaVendas1__2[[#This Row],[Valor_UnitarioXQtd]],TabelaVendas1__2[[#This Row],[Percentual_Lucro]])</f>
        <v>540</v>
      </c>
      <c r="L13">
        <v>1350</v>
      </c>
      <c r="M13">
        <f>PRODUCT(TabelaVendas1__2[[#This Row],[Quantidade]],TabelaVendas1__2[[#This Row],[Valor_Unitario]])</f>
        <v>1350</v>
      </c>
      <c r="N13">
        <f>SUM(TabelaVendas1__2[[#This Row],[Valor_UnitarioXQtd]],TabelaVendas1__2[[#This Row],[Valor_Lucro]])</f>
        <v>1890</v>
      </c>
      <c r="O13" s="2" t="s">
        <v>43</v>
      </c>
    </row>
    <row r="14" spans="1:15">
      <c r="A14" t="s">
        <v>45</v>
      </c>
      <c r="B14" t="s">
        <v>22</v>
      </c>
      <c r="C14" t="s">
        <v>23</v>
      </c>
      <c r="D14" t="s">
        <v>42</v>
      </c>
      <c r="E14" s="1">
        <v>42151</v>
      </c>
      <c r="F14" t="s">
        <v>27</v>
      </c>
      <c r="G14" t="str">
        <f ca="1">VLOOKUP(RAND(),{0,"Lucas";0.39,"Roberto";0.63,"Carla";0.78,"Pedro";0.93,"Emilly"},2,TRUE)</f>
        <v>Roberto</v>
      </c>
      <c r="H14">
        <v>1</v>
      </c>
      <c r="I14">
        <v>1030</v>
      </c>
      <c r="J14">
        <v>0.4</v>
      </c>
      <c r="K14">
        <f>PRODUCT(TabelaVendas1__2[[#This Row],[Valor_UnitarioXQtd]],TabelaVendas1__2[[#This Row],[Percentual_Lucro]])</f>
        <v>412</v>
      </c>
      <c r="L14">
        <v>1030</v>
      </c>
      <c r="M14">
        <f>PRODUCT(TabelaVendas1__2[[#This Row],[Quantidade]],TabelaVendas1__2[[#This Row],[Valor_Unitario]])</f>
        <v>1030</v>
      </c>
      <c r="N14">
        <f>SUM(TabelaVendas1__2[[#This Row],[Valor_UnitarioXQtd]],TabelaVendas1__2[[#This Row],[Valor_Lucro]])</f>
        <v>1442</v>
      </c>
      <c r="O14" s="2" t="s">
        <v>43</v>
      </c>
    </row>
    <row r="15" spans="1:15">
      <c r="A15" t="s">
        <v>46</v>
      </c>
      <c r="B15" t="s">
        <v>22</v>
      </c>
      <c r="C15" t="s">
        <v>23</v>
      </c>
      <c r="D15" t="s">
        <v>47</v>
      </c>
      <c r="E15" s="1">
        <v>42151</v>
      </c>
      <c r="F15" t="s">
        <v>27</v>
      </c>
      <c r="G15" t="str">
        <f ca="1">VLOOKUP(RAND(),{0,"Lucas";0.39,"Roberto";0.63,"Carla";0.78,"Pedro";0.93,"Emilly"},2,TRUE)</f>
        <v>Lucas</v>
      </c>
      <c r="H15">
        <v>1</v>
      </c>
      <c r="I15">
        <v>4800</v>
      </c>
      <c r="J15">
        <v>0.4</v>
      </c>
      <c r="K15">
        <f>PRODUCT(TabelaVendas1__2[[#This Row],[Valor_UnitarioXQtd]],TabelaVendas1__2[[#This Row],[Percentual_Lucro]])</f>
        <v>1920</v>
      </c>
      <c r="L15">
        <v>4800</v>
      </c>
      <c r="M15">
        <f>PRODUCT(TabelaVendas1__2[[#This Row],[Quantidade]],TabelaVendas1__2[[#This Row],[Valor_Unitario]])</f>
        <v>4800</v>
      </c>
      <c r="N15">
        <f>SUM(TabelaVendas1__2[[#This Row],[Valor_UnitarioXQtd]],TabelaVendas1__2[[#This Row],[Valor_Lucro]])</f>
        <v>6720</v>
      </c>
      <c r="O15" s="2" t="s">
        <v>48</v>
      </c>
    </row>
    <row r="16" spans="1:15">
      <c r="A16" t="s">
        <v>46</v>
      </c>
      <c r="B16" t="s">
        <v>22</v>
      </c>
      <c r="C16" t="s">
        <v>23</v>
      </c>
      <c r="D16" t="s">
        <v>47</v>
      </c>
      <c r="E16" s="1">
        <v>42151</v>
      </c>
      <c r="F16" t="s">
        <v>19</v>
      </c>
      <c r="G16" t="str">
        <f ca="1">VLOOKUP(RAND(),{0,"Lucas";0.39,"Roberto";0.63,"Carla";0.78,"Pedro";0.93,"Emilly"},2,TRUE)</f>
        <v>Roberto</v>
      </c>
      <c r="H16">
        <v>1</v>
      </c>
      <c r="I16">
        <v>4800</v>
      </c>
      <c r="J16">
        <v>0.4</v>
      </c>
      <c r="K16">
        <f>PRODUCT(TabelaVendas1__2[[#This Row],[Valor_UnitarioXQtd]],TabelaVendas1__2[[#This Row],[Percentual_Lucro]])</f>
        <v>1920</v>
      </c>
      <c r="L16">
        <v>4800</v>
      </c>
      <c r="M16">
        <f>PRODUCT(TabelaVendas1__2[[#This Row],[Quantidade]],TabelaVendas1__2[[#This Row],[Valor_Unitario]])</f>
        <v>4800</v>
      </c>
      <c r="N16">
        <f>SUM(TabelaVendas1__2[[#This Row],[Valor_UnitarioXQtd]],TabelaVendas1__2[[#This Row],[Valor_Lucro]])</f>
        <v>6720</v>
      </c>
      <c r="O16" s="2" t="s">
        <v>48</v>
      </c>
    </row>
    <row r="17" spans="1:15">
      <c r="A17" t="s">
        <v>49</v>
      </c>
      <c r="B17" t="s">
        <v>22</v>
      </c>
      <c r="C17" t="s">
        <v>33</v>
      </c>
      <c r="D17" t="s">
        <v>42</v>
      </c>
      <c r="E17" s="1">
        <v>42181</v>
      </c>
      <c r="F17" t="s">
        <v>27</v>
      </c>
      <c r="G17" t="str">
        <f ca="1">VLOOKUP(RAND(),{0,"Lucas";0.39,"Roberto";0.63,"Carla";0.78,"Pedro";0.93,"Emilly"},2,TRUE)</f>
        <v>Pedro</v>
      </c>
      <c r="H17">
        <v>1</v>
      </c>
      <c r="I17">
        <v>1990</v>
      </c>
      <c r="J17">
        <v>0.4</v>
      </c>
      <c r="K17">
        <f>PRODUCT(TabelaVendas1__2[[#This Row],[Valor_UnitarioXQtd]],TabelaVendas1__2[[#This Row],[Percentual_Lucro]])</f>
        <v>796</v>
      </c>
      <c r="L17">
        <v>1990</v>
      </c>
      <c r="M17">
        <f>PRODUCT(TabelaVendas1__2[[#This Row],[Quantidade]],TabelaVendas1__2[[#This Row],[Valor_Unitario]])</f>
        <v>1990</v>
      </c>
      <c r="N17">
        <f>SUM(TabelaVendas1__2[[#This Row],[Valor_UnitarioXQtd]],TabelaVendas1__2[[#This Row],[Valor_Lucro]])</f>
        <v>2786</v>
      </c>
      <c r="O17" s="2" t="s">
        <v>43</v>
      </c>
    </row>
    <row r="18" spans="1:15">
      <c r="A18" t="s">
        <v>50</v>
      </c>
      <c r="B18" t="s">
        <v>51</v>
      </c>
      <c r="C18" t="s">
        <v>17</v>
      </c>
      <c r="D18" t="s">
        <v>18</v>
      </c>
      <c r="E18" s="1">
        <v>42181</v>
      </c>
      <c r="F18" t="s">
        <v>19</v>
      </c>
      <c r="G18" t="str">
        <f ca="1">VLOOKUP(RAND(),{0,"Lucas";0.39,"Roberto";0.63,"Carla";0.78,"Pedro";0.93,"Emilly"},2,TRUE)</f>
        <v>Emilly</v>
      </c>
      <c r="H18">
        <v>1</v>
      </c>
      <c r="I18">
        <v>1870</v>
      </c>
      <c r="J18">
        <v>0.4</v>
      </c>
      <c r="K18">
        <f>PRODUCT(TabelaVendas1__2[[#This Row],[Valor_UnitarioXQtd]],TabelaVendas1__2[[#This Row],[Percentual_Lucro]])</f>
        <v>748</v>
      </c>
      <c r="L18">
        <v>1870</v>
      </c>
      <c r="M18">
        <f>PRODUCT(TabelaVendas1__2[[#This Row],[Quantidade]],TabelaVendas1__2[[#This Row],[Valor_Unitario]])</f>
        <v>1870</v>
      </c>
      <c r="N18">
        <f>SUM(TabelaVendas1__2[[#This Row],[Valor_UnitarioXQtd]],TabelaVendas1__2[[#This Row],[Valor_Lucro]])</f>
        <v>2618</v>
      </c>
      <c r="O18" s="2" t="s">
        <v>20</v>
      </c>
    </row>
    <row r="19" spans="1:15">
      <c r="A19" t="s">
        <v>52</v>
      </c>
      <c r="B19" t="s">
        <v>22</v>
      </c>
      <c r="C19" t="s">
        <v>23</v>
      </c>
      <c r="D19" t="s">
        <v>18</v>
      </c>
      <c r="E19" s="1">
        <v>42181</v>
      </c>
      <c r="F19" t="s">
        <v>27</v>
      </c>
      <c r="G19" t="str">
        <f ca="1">VLOOKUP(RAND(),{0,"Lucas";0.39,"Roberto";0.63,"Carla";0.78,"Pedro";0.93,"Emilly"},2,TRUE)</f>
        <v>Pedro</v>
      </c>
      <c r="H19">
        <v>1</v>
      </c>
      <c r="I19">
        <v>4350</v>
      </c>
      <c r="J19">
        <v>0.4</v>
      </c>
      <c r="K19">
        <f>PRODUCT(TabelaVendas1__2[[#This Row],[Valor_UnitarioXQtd]],TabelaVendas1__2[[#This Row],[Percentual_Lucro]])</f>
        <v>1740</v>
      </c>
      <c r="L19">
        <v>4350</v>
      </c>
      <c r="M19">
        <f>PRODUCT(TabelaVendas1__2[[#This Row],[Quantidade]],TabelaVendas1__2[[#This Row],[Valor_Unitario]])</f>
        <v>4350</v>
      </c>
      <c r="N19">
        <f>SUM(TabelaVendas1__2[[#This Row],[Valor_UnitarioXQtd]],TabelaVendas1__2[[#This Row],[Valor_Lucro]])</f>
        <v>6090</v>
      </c>
      <c r="O19" s="2" t="s">
        <v>20</v>
      </c>
    </row>
    <row r="20" spans="1:15">
      <c r="A20" t="s">
        <v>53</v>
      </c>
      <c r="B20" t="s">
        <v>22</v>
      </c>
      <c r="C20" t="s">
        <v>23</v>
      </c>
      <c r="D20" t="s">
        <v>54</v>
      </c>
      <c r="E20" s="1">
        <v>42181</v>
      </c>
      <c r="F20" t="s">
        <v>27</v>
      </c>
      <c r="G20" t="str">
        <f ca="1">VLOOKUP(RAND(),{0,"Lucas";0.39,"Roberto";0.63,"Carla";0.78,"Pedro";0.93,"Emilly"},2,TRUE)</f>
        <v>Lucas</v>
      </c>
      <c r="H20">
        <v>1</v>
      </c>
      <c r="I20">
        <v>1190</v>
      </c>
      <c r="J20">
        <v>0.4</v>
      </c>
      <c r="K20">
        <f>PRODUCT(TabelaVendas1__2[[#This Row],[Valor_UnitarioXQtd]],TabelaVendas1__2[[#This Row],[Percentual_Lucro]])</f>
        <v>476</v>
      </c>
      <c r="L20">
        <v>1190</v>
      </c>
      <c r="M20">
        <f>PRODUCT(TabelaVendas1__2[[#This Row],[Quantidade]],TabelaVendas1__2[[#This Row],[Valor_Unitario]])</f>
        <v>1190</v>
      </c>
      <c r="N20">
        <f>SUM(TabelaVendas1__2[[#This Row],[Valor_UnitarioXQtd]],TabelaVendas1__2[[#This Row],[Valor_Lucro]])</f>
        <v>1666</v>
      </c>
      <c r="O20" s="2" t="s">
        <v>55</v>
      </c>
    </row>
    <row r="21" spans="1:15">
      <c r="A21" t="s">
        <v>56</v>
      </c>
      <c r="B21" t="s">
        <v>22</v>
      </c>
      <c r="C21" t="s">
        <v>23</v>
      </c>
      <c r="D21" t="s">
        <v>29</v>
      </c>
      <c r="E21" s="1">
        <v>42181</v>
      </c>
      <c r="F21" t="s">
        <v>27</v>
      </c>
      <c r="G21" t="str">
        <f ca="1">VLOOKUP(RAND(),{0,"Lucas";0.39,"Roberto";0.63,"Carla";0.78,"Pedro";0.93,"Emilly"},2,TRUE)</f>
        <v>Roberto</v>
      </c>
      <c r="H21">
        <v>1</v>
      </c>
      <c r="I21">
        <v>680</v>
      </c>
      <c r="J21">
        <v>0.4</v>
      </c>
      <c r="K21">
        <f>PRODUCT(TabelaVendas1__2[[#This Row],[Valor_UnitarioXQtd]],TabelaVendas1__2[[#This Row],[Percentual_Lucro]])</f>
        <v>272</v>
      </c>
      <c r="L21">
        <v>680</v>
      </c>
      <c r="M21">
        <f>PRODUCT(TabelaVendas1__2[[#This Row],[Quantidade]],TabelaVendas1__2[[#This Row],[Valor_Unitario]])</f>
        <v>680</v>
      </c>
      <c r="N21">
        <f>SUM(TabelaVendas1__2[[#This Row],[Valor_UnitarioXQtd]],TabelaVendas1__2[[#This Row],[Valor_Lucro]])</f>
        <v>952</v>
      </c>
      <c r="O21" s="2" t="s">
        <v>31</v>
      </c>
    </row>
    <row r="22" spans="1:15">
      <c r="A22" t="s">
        <v>57</v>
      </c>
      <c r="B22" t="s">
        <v>16</v>
      </c>
      <c r="C22" t="s">
        <v>17</v>
      </c>
      <c r="D22" t="s">
        <v>18</v>
      </c>
      <c r="E22" s="1">
        <v>42213</v>
      </c>
      <c r="F22" t="s">
        <v>27</v>
      </c>
      <c r="G22" t="str">
        <f ca="1">VLOOKUP(RAND(),{0,"Lucas";0.39,"Roberto";0.63,"Carla";0.78,"Pedro";0.93,"Emilly"},2,TRUE)</f>
        <v>Roberto</v>
      </c>
      <c r="H22">
        <v>1</v>
      </c>
      <c r="I22">
        <v>1015</v>
      </c>
      <c r="J22">
        <v>0.4</v>
      </c>
      <c r="K22">
        <f>PRODUCT(TabelaVendas1__2[[#This Row],[Valor_UnitarioXQtd]],TabelaVendas1__2[[#This Row],[Percentual_Lucro]])</f>
        <v>406</v>
      </c>
      <c r="L22">
        <v>1015</v>
      </c>
      <c r="M22">
        <f>PRODUCT(TabelaVendas1__2[[#This Row],[Quantidade]],TabelaVendas1__2[[#This Row],[Valor_Unitario]])</f>
        <v>1015</v>
      </c>
      <c r="N22">
        <f>SUM(TabelaVendas1__2[[#This Row],[Valor_UnitarioXQtd]],TabelaVendas1__2[[#This Row],[Valor_Lucro]])</f>
        <v>1421</v>
      </c>
      <c r="O22" s="2" t="s">
        <v>20</v>
      </c>
    </row>
    <row r="23" spans="1:15">
      <c r="A23" t="s">
        <v>58</v>
      </c>
      <c r="B23" t="s">
        <v>22</v>
      </c>
      <c r="C23" t="s">
        <v>23</v>
      </c>
      <c r="D23" t="s">
        <v>18</v>
      </c>
      <c r="E23" s="1">
        <v>42213</v>
      </c>
      <c r="F23" t="s">
        <v>30</v>
      </c>
      <c r="G23" t="str">
        <f ca="1">VLOOKUP(RAND(),{0,"Lucas";0.39,"Roberto";0.63,"Carla";0.78,"Pedro";0.93,"Emilly"},2,TRUE)</f>
        <v>Carla</v>
      </c>
      <c r="H23">
        <v>1</v>
      </c>
      <c r="I23">
        <v>6265</v>
      </c>
      <c r="J23">
        <v>0.4</v>
      </c>
      <c r="K23">
        <f>PRODUCT(TabelaVendas1__2[[#This Row],[Valor_UnitarioXQtd]],TabelaVendas1__2[[#This Row],[Percentual_Lucro]])</f>
        <v>2506</v>
      </c>
      <c r="L23">
        <v>6265</v>
      </c>
      <c r="M23">
        <f>PRODUCT(TabelaVendas1__2[[#This Row],[Quantidade]],TabelaVendas1__2[[#This Row],[Valor_Unitario]])</f>
        <v>6265</v>
      </c>
      <c r="N23">
        <f>SUM(TabelaVendas1__2[[#This Row],[Valor_UnitarioXQtd]],TabelaVendas1__2[[#This Row],[Valor_Lucro]])</f>
        <v>8771</v>
      </c>
      <c r="O23" s="2" t="s">
        <v>20</v>
      </c>
    </row>
    <row r="24" spans="1:15">
      <c r="A24" t="s">
        <v>59</v>
      </c>
      <c r="B24" t="s">
        <v>16</v>
      </c>
      <c r="C24" t="s">
        <v>17</v>
      </c>
      <c r="D24" t="s">
        <v>54</v>
      </c>
      <c r="E24" s="1">
        <v>42213</v>
      </c>
      <c r="F24" t="s">
        <v>27</v>
      </c>
      <c r="G24" t="str">
        <f ca="1">VLOOKUP(RAND(),{0,"Lucas";0.39,"Roberto";0.63,"Carla";0.78,"Pedro";0.93,"Emilly"},2,TRUE)</f>
        <v>Lucas</v>
      </c>
      <c r="H24">
        <v>1</v>
      </c>
      <c r="I24">
        <v>3560</v>
      </c>
      <c r="J24">
        <v>0.4</v>
      </c>
      <c r="K24">
        <f>PRODUCT(TabelaVendas1__2[[#This Row],[Valor_UnitarioXQtd]],TabelaVendas1__2[[#This Row],[Percentual_Lucro]])</f>
        <v>1424</v>
      </c>
      <c r="L24">
        <v>3560</v>
      </c>
      <c r="M24">
        <f>PRODUCT(TabelaVendas1__2[[#This Row],[Quantidade]],TabelaVendas1__2[[#This Row],[Valor_Unitario]])</f>
        <v>3560</v>
      </c>
      <c r="N24">
        <f>SUM(TabelaVendas1__2[[#This Row],[Valor_UnitarioXQtd]],TabelaVendas1__2[[#This Row],[Valor_Lucro]])</f>
        <v>4984</v>
      </c>
      <c r="O24" s="2" t="s">
        <v>55</v>
      </c>
    </row>
    <row r="25" spans="1:15">
      <c r="A25" t="s">
        <v>60</v>
      </c>
      <c r="B25" t="s">
        <v>22</v>
      </c>
      <c r="C25" t="s">
        <v>23</v>
      </c>
      <c r="D25" t="s">
        <v>34</v>
      </c>
      <c r="E25" s="1">
        <v>42213</v>
      </c>
      <c r="F25" t="s">
        <v>19</v>
      </c>
      <c r="G25" t="str">
        <f ca="1">VLOOKUP(RAND(),{0,"Lucas";0.39,"Roberto";0.63,"Carla";0.78,"Pedro";0.93,"Emilly"},2,TRUE)</f>
        <v>Roberto</v>
      </c>
      <c r="H25">
        <v>1</v>
      </c>
      <c r="I25">
        <v>520</v>
      </c>
      <c r="J25">
        <v>0.4</v>
      </c>
      <c r="K25">
        <f>PRODUCT(TabelaVendas1__2[[#This Row],[Valor_UnitarioXQtd]],TabelaVendas1__2[[#This Row],[Percentual_Lucro]])</f>
        <v>208</v>
      </c>
      <c r="L25">
        <v>520</v>
      </c>
      <c r="M25">
        <f>PRODUCT(TabelaVendas1__2[[#This Row],[Quantidade]],TabelaVendas1__2[[#This Row],[Valor_Unitario]])</f>
        <v>520</v>
      </c>
      <c r="N25">
        <f>SUM(TabelaVendas1__2[[#This Row],[Valor_UnitarioXQtd]],TabelaVendas1__2[[#This Row],[Valor_Lucro]])</f>
        <v>728</v>
      </c>
      <c r="O25" s="2" t="s">
        <v>35</v>
      </c>
    </row>
    <row r="26" spans="1:15">
      <c r="A26" t="s">
        <v>61</v>
      </c>
      <c r="B26" t="s">
        <v>22</v>
      </c>
      <c r="C26" t="s">
        <v>23</v>
      </c>
      <c r="D26" t="s">
        <v>47</v>
      </c>
      <c r="E26" s="1">
        <v>42213</v>
      </c>
      <c r="F26" t="s">
        <v>27</v>
      </c>
      <c r="G26" t="str">
        <f ca="1">VLOOKUP(RAND(),{0,"Lucas";0.39,"Roberto";0.63,"Carla";0.78,"Pedro";0.93,"Emilly"},2,TRUE)</f>
        <v>Pedro</v>
      </c>
      <c r="H26">
        <v>1</v>
      </c>
      <c r="I26">
        <v>1520</v>
      </c>
      <c r="J26">
        <v>0.4</v>
      </c>
      <c r="K26">
        <f>PRODUCT(TabelaVendas1__2[[#This Row],[Valor_UnitarioXQtd]],TabelaVendas1__2[[#This Row],[Percentual_Lucro]])</f>
        <v>608</v>
      </c>
      <c r="L26">
        <v>1520</v>
      </c>
      <c r="M26">
        <f>PRODUCT(TabelaVendas1__2[[#This Row],[Quantidade]],TabelaVendas1__2[[#This Row],[Valor_Unitario]])</f>
        <v>1520</v>
      </c>
      <c r="N26">
        <f>SUM(TabelaVendas1__2[[#This Row],[Valor_UnitarioXQtd]],TabelaVendas1__2[[#This Row],[Valor_Lucro]])</f>
        <v>2128</v>
      </c>
      <c r="O26" s="2" t="s">
        <v>48</v>
      </c>
    </row>
    <row r="27" spans="1:15">
      <c r="A27" t="s">
        <v>62</v>
      </c>
      <c r="B27" t="s">
        <v>22</v>
      </c>
      <c r="C27" t="s">
        <v>23</v>
      </c>
      <c r="D27" t="s">
        <v>24</v>
      </c>
      <c r="E27" s="1">
        <v>42244</v>
      </c>
      <c r="F27" t="s">
        <v>30</v>
      </c>
      <c r="G27" t="str">
        <f ca="1">VLOOKUP(RAND(),{0,"Lucas";0.39,"Roberto";0.63,"Carla";0.78,"Pedro";0.93,"Emilly"},2,TRUE)</f>
        <v>Pedro</v>
      </c>
      <c r="H27">
        <v>1</v>
      </c>
      <c r="I27">
        <v>1980</v>
      </c>
      <c r="J27">
        <v>0.4</v>
      </c>
      <c r="K27">
        <f>PRODUCT(TabelaVendas1__2[[#This Row],[Valor_UnitarioXQtd]],TabelaVendas1__2[[#This Row],[Percentual_Lucro]])</f>
        <v>792</v>
      </c>
      <c r="L27">
        <v>1980</v>
      </c>
      <c r="M27">
        <f>PRODUCT(TabelaVendas1__2[[#This Row],[Quantidade]],TabelaVendas1__2[[#This Row],[Valor_Unitario]])</f>
        <v>1980</v>
      </c>
      <c r="N27">
        <f>SUM(TabelaVendas1__2[[#This Row],[Valor_UnitarioXQtd]],TabelaVendas1__2[[#This Row],[Valor_Lucro]])</f>
        <v>2772</v>
      </c>
      <c r="O27" s="2" t="s">
        <v>25</v>
      </c>
    </row>
    <row r="28" spans="1:15">
      <c r="A28" t="s">
        <v>63</v>
      </c>
      <c r="B28" t="s">
        <v>16</v>
      </c>
      <c r="C28" t="s">
        <v>17</v>
      </c>
      <c r="D28" t="s">
        <v>24</v>
      </c>
      <c r="E28" s="1">
        <v>42244</v>
      </c>
      <c r="F28" t="s">
        <v>27</v>
      </c>
      <c r="G28" t="str">
        <f ca="1">VLOOKUP(RAND(),{0,"Lucas";0.39,"Roberto";0.63,"Carla";0.78,"Pedro";0.93,"Emilly"},2,TRUE)</f>
        <v>Lucas</v>
      </c>
      <c r="H28">
        <v>1</v>
      </c>
      <c r="I28">
        <v>3450</v>
      </c>
      <c r="J28">
        <v>0.4</v>
      </c>
      <c r="K28">
        <f>PRODUCT(TabelaVendas1__2[[#This Row],[Valor_UnitarioXQtd]],TabelaVendas1__2[[#This Row],[Percentual_Lucro]])</f>
        <v>1380</v>
      </c>
      <c r="L28">
        <v>3450</v>
      </c>
      <c r="M28">
        <f>PRODUCT(TabelaVendas1__2[[#This Row],[Quantidade]],TabelaVendas1__2[[#This Row],[Valor_Unitario]])</f>
        <v>3450</v>
      </c>
      <c r="N28">
        <f>SUM(TabelaVendas1__2[[#This Row],[Valor_UnitarioXQtd]],TabelaVendas1__2[[#This Row],[Valor_Lucro]])</f>
        <v>4830</v>
      </c>
      <c r="O28" s="2" t="s">
        <v>25</v>
      </c>
    </row>
    <row r="29" spans="1:15">
      <c r="A29" t="s">
        <v>64</v>
      </c>
      <c r="B29" t="s">
        <v>22</v>
      </c>
      <c r="C29" t="s">
        <v>23</v>
      </c>
      <c r="D29" t="s">
        <v>18</v>
      </c>
      <c r="E29" s="1">
        <v>42244</v>
      </c>
      <c r="F29" t="s">
        <v>27</v>
      </c>
      <c r="G29" t="str">
        <f ca="1">VLOOKUP(RAND(),{0,"Lucas";0.39,"Roberto";0.63,"Carla";0.78,"Pedro";0.93,"Emilly"},2,TRUE)</f>
        <v>Carla</v>
      </c>
      <c r="H29">
        <v>1</v>
      </c>
      <c r="I29">
        <v>2015</v>
      </c>
      <c r="J29">
        <v>0.4</v>
      </c>
      <c r="K29">
        <f>PRODUCT(TabelaVendas1__2[[#This Row],[Valor_UnitarioXQtd]],TabelaVendas1__2[[#This Row],[Percentual_Lucro]])</f>
        <v>806</v>
      </c>
      <c r="L29">
        <v>2015</v>
      </c>
      <c r="M29">
        <f>PRODUCT(TabelaVendas1__2[[#This Row],[Quantidade]],TabelaVendas1__2[[#This Row],[Valor_Unitario]])</f>
        <v>2015</v>
      </c>
      <c r="N29">
        <f>SUM(TabelaVendas1__2[[#This Row],[Valor_UnitarioXQtd]],TabelaVendas1__2[[#This Row],[Valor_Lucro]])</f>
        <v>2821</v>
      </c>
      <c r="O29" s="2" t="s">
        <v>20</v>
      </c>
    </row>
    <row r="30" spans="1:15">
      <c r="A30" t="s">
        <v>65</v>
      </c>
      <c r="B30" t="s">
        <v>22</v>
      </c>
      <c r="C30" t="s">
        <v>23</v>
      </c>
      <c r="D30" t="s">
        <v>54</v>
      </c>
      <c r="E30" s="1">
        <v>42244</v>
      </c>
      <c r="F30" t="s">
        <v>19</v>
      </c>
      <c r="G30" t="str">
        <f ca="1">VLOOKUP(RAND(),{0,"Lucas";0.39,"Roberto";0.63,"Carla";0.78,"Pedro";0.93,"Emilly"},2,TRUE)</f>
        <v>Roberto</v>
      </c>
      <c r="H30">
        <v>1</v>
      </c>
      <c r="I30">
        <v>670</v>
      </c>
      <c r="J30">
        <v>0.4</v>
      </c>
      <c r="K30">
        <f>PRODUCT(TabelaVendas1__2[[#This Row],[Valor_UnitarioXQtd]],TabelaVendas1__2[[#This Row],[Percentual_Lucro]])</f>
        <v>268</v>
      </c>
      <c r="L30">
        <v>670</v>
      </c>
      <c r="M30">
        <f>PRODUCT(TabelaVendas1__2[[#This Row],[Quantidade]],TabelaVendas1__2[[#This Row],[Valor_Unitario]])</f>
        <v>670</v>
      </c>
      <c r="N30">
        <f>SUM(TabelaVendas1__2[[#This Row],[Valor_UnitarioXQtd]],TabelaVendas1__2[[#This Row],[Valor_Lucro]])</f>
        <v>938</v>
      </c>
      <c r="O30" s="2" t="s">
        <v>55</v>
      </c>
    </row>
    <row r="31" spans="1:15">
      <c r="A31" t="s">
        <v>66</v>
      </c>
      <c r="B31" t="s">
        <v>22</v>
      </c>
      <c r="C31" t="s">
        <v>23</v>
      </c>
      <c r="D31" t="s">
        <v>24</v>
      </c>
      <c r="E31" s="1">
        <v>42276</v>
      </c>
      <c r="F31" t="s">
        <v>30</v>
      </c>
      <c r="G31" t="str">
        <f ca="1">VLOOKUP(RAND(),{0,"Lucas";0.39,"Roberto";0.63,"Carla";0.78,"Pedro";0.93,"Emilly"},2,TRUE)</f>
        <v>Roberto</v>
      </c>
      <c r="H31">
        <v>1</v>
      </c>
      <c r="I31">
        <v>3490</v>
      </c>
      <c r="J31">
        <v>0.4</v>
      </c>
      <c r="K31">
        <f>PRODUCT(TabelaVendas1__2[[#This Row],[Valor_UnitarioXQtd]],TabelaVendas1__2[[#This Row],[Percentual_Lucro]])</f>
        <v>1396</v>
      </c>
      <c r="L31">
        <v>3490</v>
      </c>
      <c r="M31">
        <f>PRODUCT(TabelaVendas1__2[[#This Row],[Quantidade]],TabelaVendas1__2[[#This Row],[Valor_Unitario]])</f>
        <v>3490</v>
      </c>
      <c r="N31">
        <f>SUM(TabelaVendas1__2[[#This Row],[Valor_UnitarioXQtd]],TabelaVendas1__2[[#This Row],[Valor_Lucro]])</f>
        <v>4886</v>
      </c>
      <c r="O31" s="2" t="s">
        <v>25</v>
      </c>
    </row>
    <row r="32" spans="1:15">
      <c r="A32" t="s">
        <v>67</v>
      </c>
      <c r="B32" t="s">
        <v>22</v>
      </c>
      <c r="C32" t="s">
        <v>23</v>
      </c>
      <c r="D32" t="s">
        <v>18</v>
      </c>
      <c r="E32" s="1">
        <v>42276</v>
      </c>
      <c r="F32" t="s">
        <v>19</v>
      </c>
      <c r="G32" t="str">
        <f ca="1">VLOOKUP(RAND(),{0,"Lucas";0.39,"Roberto";0.63,"Carla";0.78,"Pedro";0.93,"Emilly"},2,TRUE)</f>
        <v>Pedro</v>
      </c>
      <c r="H32">
        <v>1</v>
      </c>
      <c r="I32">
        <v>3800</v>
      </c>
      <c r="J32">
        <v>0.4</v>
      </c>
      <c r="K32">
        <f>PRODUCT(TabelaVendas1__2[[#This Row],[Valor_UnitarioXQtd]],TabelaVendas1__2[[#This Row],[Percentual_Lucro]])</f>
        <v>1520</v>
      </c>
      <c r="L32">
        <v>3800</v>
      </c>
      <c r="M32">
        <f>PRODUCT(TabelaVendas1__2[[#This Row],[Quantidade]],TabelaVendas1__2[[#This Row],[Valor_Unitario]])</f>
        <v>3800</v>
      </c>
      <c r="N32">
        <f>SUM(TabelaVendas1__2[[#This Row],[Valor_UnitarioXQtd]],TabelaVendas1__2[[#This Row],[Valor_Lucro]])</f>
        <v>5320</v>
      </c>
      <c r="O32" s="2" t="s">
        <v>20</v>
      </c>
    </row>
    <row r="33" spans="1:15">
      <c r="A33" t="s">
        <v>68</v>
      </c>
      <c r="B33" t="s">
        <v>22</v>
      </c>
      <c r="C33" t="s">
        <v>33</v>
      </c>
      <c r="D33" t="s">
        <v>29</v>
      </c>
      <c r="E33" s="1">
        <v>42276</v>
      </c>
      <c r="F33" t="s">
        <v>19</v>
      </c>
      <c r="G33" t="str">
        <f ca="1">VLOOKUP(RAND(),{0,"Lucas";0.39,"Roberto";0.63,"Carla";0.78,"Pedro";0.93,"Emilly"},2,TRUE)</f>
        <v>Roberto</v>
      </c>
      <c r="H33">
        <v>1</v>
      </c>
      <c r="I33">
        <v>1050</v>
      </c>
      <c r="J33">
        <v>0.4</v>
      </c>
      <c r="K33">
        <f>PRODUCT(TabelaVendas1__2[[#This Row],[Valor_UnitarioXQtd]],TabelaVendas1__2[[#This Row],[Percentual_Lucro]])</f>
        <v>420</v>
      </c>
      <c r="L33">
        <v>1050</v>
      </c>
      <c r="M33">
        <f>PRODUCT(TabelaVendas1__2[[#This Row],[Quantidade]],TabelaVendas1__2[[#This Row],[Valor_Unitario]])</f>
        <v>1050</v>
      </c>
      <c r="N33">
        <f>SUM(TabelaVendas1__2[[#This Row],[Valor_UnitarioXQtd]],TabelaVendas1__2[[#This Row],[Valor_Lucro]])</f>
        <v>1470</v>
      </c>
      <c r="O33" s="2" t="s">
        <v>31</v>
      </c>
    </row>
    <row r="34" spans="1:15">
      <c r="A34" t="s">
        <v>32</v>
      </c>
      <c r="B34" t="s">
        <v>22</v>
      </c>
      <c r="C34" t="s">
        <v>33</v>
      </c>
      <c r="D34" t="s">
        <v>34</v>
      </c>
      <c r="E34" s="1">
        <v>42276</v>
      </c>
      <c r="F34" t="s">
        <v>30</v>
      </c>
      <c r="G34" t="str">
        <f ca="1">VLOOKUP(RAND(),{0,"Lucas";0.39,"Roberto";0.63,"Carla";0.78,"Pedro";0.93,"Emilly"},2,TRUE)</f>
        <v>Roberto</v>
      </c>
      <c r="H34">
        <v>1</v>
      </c>
      <c r="I34">
        <v>1120</v>
      </c>
      <c r="J34">
        <v>0.4</v>
      </c>
      <c r="K34">
        <f>PRODUCT(TabelaVendas1__2[[#This Row],[Valor_UnitarioXQtd]],TabelaVendas1__2[[#This Row],[Percentual_Lucro]])</f>
        <v>448</v>
      </c>
      <c r="L34">
        <v>1120</v>
      </c>
      <c r="M34">
        <f>PRODUCT(TabelaVendas1__2[[#This Row],[Quantidade]],TabelaVendas1__2[[#This Row],[Valor_Unitario]])</f>
        <v>1120</v>
      </c>
      <c r="N34">
        <f>SUM(TabelaVendas1__2[[#This Row],[Valor_UnitarioXQtd]],TabelaVendas1__2[[#This Row],[Valor_Lucro]])</f>
        <v>1568</v>
      </c>
      <c r="O34" s="2" t="s">
        <v>35</v>
      </c>
    </row>
    <row r="35" spans="1:15">
      <c r="A35" t="s">
        <v>58</v>
      </c>
      <c r="B35" t="s">
        <v>22</v>
      </c>
      <c r="C35" t="s">
        <v>23</v>
      </c>
      <c r="D35" t="s">
        <v>18</v>
      </c>
      <c r="E35" s="1">
        <v>42304</v>
      </c>
      <c r="F35" t="s">
        <v>27</v>
      </c>
      <c r="G35" t="str">
        <f ca="1">VLOOKUP(RAND(),{0,"Lucas";0.39,"Roberto";0.63,"Carla";0.78,"Pedro";0.93,"Emilly"},2,TRUE)</f>
        <v>Lucas</v>
      </c>
      <c r="H35">
        <v>1</v>
      </c>
      <c r="I35">
        <v>6265</v>
      </c>
      <c r="J35">
        <v>0.4</v>
      </c>
      <c r="K35">
        <f>PRODUCT(TabelaVendas1__2[[#This Row],[Valor_UnitarioXQtd]],TabelaVendas1__2[[#This Row],[Percentual_Lucro]])</f>
        <v>2506</v>
      </c>
      <c r="L35">
        <v>6265</v>
      </c>
      <c r="M35">
        <f>PRODUCT(TabelaVendas1__2[[#This Row],[Quantidade]],TabelaVendas1__2[[#This Row],[Valor_Unitario]])</f>
        <v>6265</v>
      </c>
      <c r="N35">
        <f>SUM(TabelaVendas1__2[[#This Row],[Valor_UnitarioXQtd]],TabelaVendas1__2[[#This Row],[Valor_Lucro]])</f>
        <v>8771</v>
      </c>
      <c r="O35" s="2" t="s">
        <v>20</v>
      </c>
    </row>
    <row r="36" spans="1:15">
      <c r="A36" t="s">
        <v>69</v>
      </c>
      <c r="B36" t="s">
        <v>22</v>
      </c>
      <c r="C36" t="s">
        <v>33</v>
      </c>
      <c r="D36" t="s">
        <v>34</v>
      </c>
      <c r="E36" s="1">
        <v>42304</v>
      </c>
      <c r="F36" t="s">
        <v>19</v>
      </c>
      <c r="G36" t="str">
        <f ca="1">VLOOKUP(RAND(),{0,"Lucas";0.39,"Roberto";0.63,"Carla";0.78,"Pedro";0.93,"Emilly"},2,TRUE)</f>
        <v>Pedro</v>
      </c>
      <c r="H36">
        <v>1</v>
      </c>
      <c r="I36">
        <v>6450</v>
      </c>
      <c r="J36">
        <v>0.4</v>
      </c>
      <c r="K36">
        <f>PRODUCT(TabelaVendas1__2[[#This Row],[Valor_UnitarioXQtd]],TabelaVendas1__2[[#This Row],[Percentual_Lucro]])</f>
        <v>2580</v>
      </c>
      <c r="L36">
        <v>6450</v>
      </c>
      <c r="M36">
        <f>PRODUCT(TabelaVendas1__2[[#This Row],[Quantidade]],TabelaVendas1__2[[#This Row],[Valor_Unitario]])</f>
        <v>6450</v>
      </c>
      <c r="N36">
        <f>SUM(TabelaVendas1__2[[#This Row],[Valor_UnitarioXQtd]],TabelaVendas1__2[[#This Row],[Valor_Lucro]])</f>
        <v>9030</v>
      </c>
      <c r="O36" s="2" t="s">
        <v>35</v>
      </c>
    </row>
    <row r="37" spans="1:15">
      <c r="A37" t="s">
        <v>70</v>
      </c>
      <c r="B37" t="s">
        <v>22</v>
      </c>
      <c r="C37" t="s">
        <v>23</v>
      </c>
      <c r="D37" t="s">
        <v>34</v>
      </c>
      <c r="E37" s="1">
        <v>42336</v>
      </c>
      <c r="F37" t="s">
        <v>27</v>
      </c>
      <c r="G37" t="str">
        <f ca="1">VLOOKUP(RAND(),{0,"Lucas";0.39,"Roberto";0.63,"Carla";0.78,"Pedro";0.93,"Emilly"},2,TRUE)</f>
        <v>Pedro</v>
      </c>
      <c r="H37">
        <v>1</v>
      </c>
      <c r="I37">
        <v>1800</v>
      </c>
      <c r="J37">
        <v>0.4</v>
      </c>
      <c r="K37">
        <f>PRODUCT(TabelaVendas1__2[[#This Row],[Valor_UnitarioXQtd]],TabelaVendas1__2[[#This Row],[Percentual_Lucro]])</f>
        <v>720</v>
      </c>
      <c r="L37">
        <v>1800</v>
      </c>
      <c r="M37">
        <f>PRODUCT(TabelaVendas1__2[[#This Row],[Quantidade]],TabelaVendas1__2[[#This Row],[Valor_Unitario]])</f>
        <v>1800</v>
      </c>
      <c r="N37">
        <f>SUM(TabelaVendas1__2[[#This Row],[Valor_UnitarioXQtd]],TabelaVendas1__2[[#This Row],[Valor_Lucro]])</f>
        <v>2520</v>
      </c>
      <c r="O37" s="2" t="s">
        <v>35</v>
      </c>
    </row>
    <row r="38" spans="1:15">
      <c r="A38" t="s">
        <v>59</v>
      </c>
      <c r="B38" t="s">
        <v>16</v>
      </c>
      <c r="C38" t="s">
        <v>17</v>
      </c>
      <c r="D38" t="s">
        <v>54</v>
      </c>
      <c r="E38" s="1">
        <v>42336</v>
      </c>
      <c r="F38" t="s">
        <v>19</v>
      </c>
      <c r="G38" t="str">
        <f ca="1">VLOOKUP(RAND(),{0,"Lucas";0.39,"Roberto";0.63,"Carla";0.78,"Pedro";0.93,"Emilly"},2,TRUE)</f>
        <v>Lucas</v>
      </c>
      <c r="H38">
        <v>1</v>
      </c>
      <c r="I38">
        <v>3560</v>
      </c>
      <c r="J38">
        <v>0.4</v>
      </c>
      <c r="K38">
        <f>PRODUCT(TabelaVendas1__2[[#This Row],[Valor_UnitarioXQtd]],TabelaVendas1__2[[#This Row],[Percentual_Lucro]])</f>
        <v>1424</v>
      </c>
      <c r="L38">
        <v>3560</v>
      </c>
      <c r="M38">
        <f>PRODUCT(TabelaVendas1__2[[#This Row],[Quantidade]],TabelaVendas1__2[[#This Row],[Valor_Unitario]])</f>
        <v>3560</v>
      </c>
      <c r="N38">
        <f>SUM(TabelaVendas1__2[[#This Row],[Valor_UnitarioXQtd]],TabelaVendas1__2[[#This Row],[Valor_Lucro]])</f>
        <v>4984</v>
      </c>
      <c r="O38" s="2" t="s">
        <v>55</v>
      </c>
    </row>
    <row r="39" spans="1:15">
      <c r="A39" t="s">
        <v>71</v>
      </c>
      <c r="B39" t="s">
        <v>22</v>
      </c>
      <c r="C39" t="s">
        <v>23</v>
      </c>
      <c r="D39" t="s">
        <v>34</v>
      </c>
      <c r="E39" s="1">
        <v>42336</v>
      </c>
      <c r="F39" t="s">
        <v>30</v>
      </c>
      <c r="G39" t="str">
        <f ca="1">VLOOKUP(RAND(),{0,"Lucas";0.39,"Roberto";0.63,"Carla";0.78,"Pedro";0.93,"Emilly"},2,TRUE)</f>
        <v>Pedro</v>
      </c>
      <c r="H39">
        <v>1</v>
      </c>
      <c r="I39">
        <v>4400</v>
      </c>
      <c r="J39">
        <v>0.4</v>
      </c>
      <c r="K39">
        <f>PRODUCT(TabelaVendas1__2[[#This Row],[Valor_UnitarioXQtd]],TabelaVendas1__2[[#This Row],[Percentual_Lucro]])</f>
        <v>1760</v>
      </c>
      <c r="L39">
        <v>4400</v>
      </c>
      <c r="M39">
        <f>PRODUCT(TabelaVendas1__2[[#This Row],[Quantidade]],TabelaVendas1__2[[#This Row],[Valor_Unitario]])</f>
        <v>4400</v>
      </c>
      <c r="N39">
        <f>SUM(TabelaVendas1__2[[#This Row],[Valor_UnitarioXQtd]],TabelaVendas1__2[[#This Row],[Valor_Lucro]])</f>
        <v>6160</v>
      </c>
      <c r="O39" s="2" t="s">
        <v>35</v>
      </c>
    </row>
    <row r="40" spans="1:15">
      <c r="A40" t="s">
        <v>72</v>
      </c>
      <c r="B40" t="s">
        <v>22</v>
      </c>
      <c r="C40" t="s">
        <v>23</v>
      </c>
      <c r="D40" t="s">
        <v>47</v>
      </c>
      <c r="E40" s="1">
        <v>42336</v>
      </c>
      <c r="F40" t="s">
        <v>19</v>
      </c>
      <c r="G40" t="str">
        <f ca="1">VLOOKUP(RAND(),{0,"Lucas";0.39,"Roberto";0.63,"Carla";0.78,"Pedro";0.93,"Emilly"},2,TRUE)</f>
        <v>Roberto</v>
      </c>
      <c r="H40">
        <v>1</v>
      </c>
      <c r="I40">
        <v>3500</v>
      </c>
      <c r="J40">
        <v>0.4</v>
      </c>
      <c r="K40">
        <f>PRODUCT(TabelaVendas1__2[[#This Row],[Valor_UnitarioXQtd]],TabelaVendas1__2[[#This Row],[Percentual_Lucro]])</f>
        <v>1400</v>
      </c>
      <c r="L40">
        <v>3500</v>
      </c>
      <c r="M40">
        <f>PRODUCT(TabelaVendas1__2[[#This Row],[Quantidade]],TabelaVendas1__2[[#This Row],[Valor_Unitario]])</f>
        <v>3500</v>
      </c>
      <c r="N40">
        <f>SUM(TabelaVendas1__2[[#This Row],[Valor_UnitarioXQtd]],TabelaVendas1__2[[#This Row],[Valor_Lucro]])</f>
        <v>4900</v>
      </c>
      <c r="O40" s="2" t="s">
        <v>48</v>
      </c>
    </row>
    <row r="41" spans="1:15">
      <c r="A41" t="s">
        <v>15</v>
      </c>
      <c r="B41" t="s">
        <v>22</v>
      </c>
      <c r="C41" t="s">
        <v>23</v>
      </c>
      <c r="D41" t="s">
        <v>18</v>
      </c>
      <c r="E41" s="1">
        <v>42336</v>
      </c>
      <c r="F41" t="s">
        <v>30</v>
      </c>
      <c r="G41" t="str">
        <f ca="1">VLOOKUP(RAND(),{0,"Lucas";0.39,"Roberto";0.63,"Carla";0.78,"Pedro";0.93,"Emilly"},2,TRUE)</f>
        <v>Lucas</v>
      </c>
      <c r="H41">
        <v>1</v>
      </c>
      <c r="I41">
        <v>2800</v>
      </c>
      <c r="J41">
        <v>0.4</v>
      </c>
      <c r="K41">
        <f>PRODUCT(TabelaVendas1__2[[#This Row],[Valor_UnitarioXQtd]],TabelaVendas1__2[[#This Row],[Percentual_Lucro]])</f>
        <v>1120</v>
      </c>
      <c r="L41">
        <v>2800</v>
      </c>
      <c r="M41">
        <f>PRODUCT(TabelaVendas1__2[[#This Row],[Quantidade]],TabelaVendas1__2[[#This Row],[Valor_Unitario]])</f>
        <v>2800</v>
      </c>
      <c r="N41">
        <f>SUM(TabelaVendas1__2[[#This Row],[Valor_UnitarioXQtd]],TabelaVendas1__2[[#This Row],[Valor_Lucro]])</f>
        <v>3920</v>
      </c>
      <c r="O41" s="2" t="s">
        <v>20</v>
      </c>
    </row>
    <row r="42" spans="1:15">
      <c r="A42" t="s">
        <v>73</v>
      </c>
      <c r="B42" t="s">
        <v>22</v>
      </c>
      <c r="C42" t="s">
        <v>23</v>
      </c>
      <c r="D42" t="s">
        <v>42</v>
      </c>
      <c r="E42" s="1">
        <v>42359</v>
      </c>
      <c r="F42" t="s">
        <v>30</v>
      </c>
      <c r="G42" t="str">
        <f ca="1">VLOOKUP(RAND(),{0,"Lucas";0.39,"Roberto";0.63,"Carla";0.78,"Pedro";0.93,"Emilly"},2,TRUE)</f>
        <v>Lucas</v>
      </c>
      <c r="H42">
        <v>4</v>
      </c>
      <c r="I42">
        <v>980</v>
      </c>
      <c r="J42">
        <v>0.4</v>
      </c>
      <c r="K42">
        <f>PRODUCT(TabelaVendas1__2[[#This Row],[Valor_UnitarioXQtd]],TabelaVendas1__2[[#This Row],[Percentual_Lucro]])</f>
        <v>1568</v>
      </c>
      <c r="L42">
        <v>3920</v>
      </c>
      <c r="M42">
        <f>PRODUCT(TabelaVendas1__2[[#This Row],[Quantidade]],TabelaVendas1__2[[#This Row],[Valor_Unitario]])</f>
        <v>3920</v>
      </c>
      <c r="N42">
        <f>SUM(TabelaVendas1__2[[#This Row],[Valor_UnitarioXQtd]],TabelaVendas1__2[[#This Row],[Valor_Lucro]])</f>
        <v>5488</v>
      </c>
      <c r="O42" s="2" t="s">
        <v>43</v>
      </c>
    </row>
    <row r="43" spans="1:15">
      <c r="A43" t="s">
        <v>74</v>
      </c>
      <c r="B43" t="s">
        <v>22</v>
      </c>
      <c r="C43" t="s">
        <v>23</v>
      </c>
      <c r="D43" t="s">
        <v>75</v>
      </c>
      <c r="E43" s="1">
        <v>42359</v>
      </c>
      <c r="F43" t="s">
        <v>30</v>
      </c>
      <c r="G43" t="str">
        <f ca="1">VLOOKUP(RAND(),{0,"Lucas";0.39,"Roberto";0.63,"Carla";0.78,"Pedro";0.93,"Emilly"},2,TRUE)</f>
        <v>Carla</v>
      </c>
      <c r="H43">
        <v>2</v>
      </c>
      <c r="I43">
        <v>1300</v>
      </c>
      <c r="J43">
        <v>0.4</v>
      </c>
      <c r="K43">
        <f>PRODUCT(TabelaVendas1__2[[#This Row],[Valor_UnitarioXQtd]],TabelaVendas1__2[[#This Row],[Percentual_Lucro]])</f>
        <v>1040</v>
      </c>
      <c r="L43">
        <v>2600</v>
      </c>
      <c r="M43">
        <f>PRODUCT(TabelaVendas1__2[[#This Row],[Quantidade]],TabelaVendas1__2[[#This Row],[Valor_Unitario]])</f>
        <v>2600</v>
      </c>
      <c r="N43">
        <f>SUM(TabelaVendas1__2[[#This Row],[Valor_UnitarioXQtd]],TabelaVendas1__2[[#This Row],[Valor_Lucro]])</f>
        <v>3640</v>
      </c>
      <c r="O43" s="2" t="s">
        <v>76</v>
      </c>
    </row>
    <row r="44" spans="1:15">
      <c r="A44" t="s">
        <v>77</v>
      </c>
      <c r="B44" t="s">
        <v>22</v>
      </c>
      <c r="C44" t="s">
        <v>33</v>
      </c>
      <c r="D44" t="s">
        <v>42</v>
      </c>
      <c r="E44" s="1">
        <v>42359</v>
      </c>
      <c r="F44" t="s">
        <v>27</v>
      </c>
      <c r="G44" t="str">
        <f ca="1">VLOOKUP(RAND(),{0,"Lucas";0.39,"Roberto";0.63,"Carla";0.78,"Pedro";0.93,"Emilly"},2,TRUE)</f>
        <v>Lucas</v>
      </c>
      <c r="H44">
        <v>1</v>
      </c>
      <c r="I44">
        <v>1550</v>
      </c>
      <c r="J44">
        <v>0.4</v>
      </c>
      <c r="K44">
        <f>PRODUCT(TabelaVendas1__2[[#This Row],[Valor_UnitarioXQtd]],TabelaVendas1__2[[#This Row],[Percentual_Lucro]])</f>
        <v>620</v>
      </c>
      <c r="L44">
        <v>1550</v>
      </c>
      <c r="M44">
        <f>PRODUCT(TabelaVendas1__2[[#This Row],[Quantidade]],TabelaVendas1__2[[#This Row],[Valor_Unitario]])</f>
        <v>1550</v>
      </c>
      <c r="N44">
        <f>SUM(TabelaVendas1__2[[#This Row],[Valor_UnitarioXQtd]],TabelaVendas1__2[[#This Row],[Valor_Lucro]])</f>
        <v>2170</v>
      </c>
      <c r="O44" s="2" t="s">
        <v>43</v>
      </c>
    </row>
    <row r="45" spans="1:15">
      <c r="A45" t="s">
        <v>78</v>
      </c>
      <c r="B45" t="s">
        <v>22</v>
      </c>
      <c r="C45" t="s">
        <v>33</v>
      </c>
      <c r="D45" t="s">
        <v>24</v>
      </c>
      <c r="E45" s="1">
        <v>42359</v>
      </c>
      <c r="F45" t="s">
        <v>27</v>
      </c>
      <c r="G45" t="str">
        <f ca="1">VLOOKUP(RAND(),{0,"Lucas";0.39,"Roberto";0.63,"Carla";0.78,"Pedro";0.93,"Emilly"},2,TRUE)</f>
        <v>Roberto</v>
      </c>
      <c r="H45">
        <v>1</v>
      </c>
      <c r="I45">
        <v>2490</v>
      </c>
      <c r="J45">
        <v>0.4</v>
      </c>
      <c r="K45">
        <f>PRODUCT(TabelaVendas1__2[[#This Row],[Valor_UnitarioXQtd]],TabelaVendas1__2[[#This Row],[Percentual_Lucro]])</f>
        <v>996</v>
      </c>
      <c r="L45">
        <v>2490</v>
      </c>
      <c r="M45">
        <f>PRODUCT(TabelaVendas1__2[[#This Row],[Quantidade]],TabelaVendas1__2[[#This Row],[Valor_Unitario]])</f>
        <v>2490</v>
      </c>
      <c r="N45">
        <f>SUM(TabelaVendas1__2[[#This Row],[Valor_UnitarioXQtd]],TabelaVendas1__2[[#This Row],[Valor_Lucro]])</f>
        <v>3486</v>
      </c>
      <c r="O45" s="2" t="s">
        <v>25</v>
      </c>
    </row>
    <row r="46" spans="1:15">
      <c r="A46" t="s">
        <v>79</v>
      </c>
      <c r="B46" t="s">
        <v>22</v>
      </c>
      <c r="C46" t="s">
        <v>23</v>
      </c>
      <c r="D46" t="s">
        <v>18</v>
      </c>
      <c r="E46" s="1">
        <v>42359</v>
      </c>
      <c r="F46" t="s">
        <v>30</v>
      </c>
      <c r="G46" t="str">
        <f ca="1">VLOOKUP(RAND(),{0,"Lucas";0.39,"Roberto";0.63,"Carla";0.78,"Pedro";0.93,"Emilly"},2,TRUE)</f>
        <v>Lucas</v>
      </c>
      <c r="H46">
        <v>1</v>
      </c>
      <c r="I46">
        <v>2950</v>
      </c>
      <c r="J46">
        <v>0.4</v>
      </c>
      <c r="K46">
        <f>PRODUCT(TabelaVendas1__2[[#This Row],[Valor_UnitarioXQtd]],TabelaVendas1__2[[#This Row],[Percentual_Lucro]])</f>
        <v>1180</v>
      </c>
      <c r="L46">
        <v>2950</v>
      </c>
      <c r="M46">
        <f>PRODUCT(TabelaVendas1__2[[#This Row],[Quantidade]],TabelaVendas1__2[[#This Row],[Valor_Unitario]])</f>
        <v>2950</v>
      </c>
      <c r="N46">
        <f>SUM(TabelaVendas1__2[[#This Row],[Valor_UnitarioXQtd]],TabelaVendas1__2[[#This Row],[Valor_Lucro]])</f>
        <v>4130</v>
      </c>
      <c r="O46" s="2" t="s">
        <v>20</v>
      </c>
    </row>
    <row r="47" spans="1:15">
      <c r="A47" t="s">
        <v>15</v>
      </c>
      <c r="B47" t="s">
        <v>22</v>
      </c>
      <c r="C47" t="s">
        <v>23</v>
      </c>
      <c r="D47" t="s">
        <v>18</v>
      </c>
      <c r="E47" s="1">
        <v>42395</v>
      </c>
      <c r="F47" t="s">
        <v>19</v>
      </c>
      <c r="G47" t="str">
        <f ca="1">VLOOKUP(RAND(),{0,"Lucas";0.39,"Roberto";0.63,"Carla";0.78,"Pedro";0.93,"Emilly"},2,TRUE)</f>
        <v>Carla</v>
      </c>
      <c r="H47">
        <v>1</v>
      </c>
      <c r="I47">
        <v>2500</v>
      </c>
      <c r="J47">
        <v>0.4</v>
      </c>
      <c r="K47">
        <f>PRODUCT(TabelaVendas1__2[[#This Row],[Valor_UnitarioXQtd]],TabelaVendas1__2[[#This Row],[Percentual_Lucro]])</f>
        <v>1000</v>
      </c>
      <c r="L47">
        <v>2500</v>
      </c>
      <c r="M47">
        <f>PRODUCT(TabelaVendas1__2[[#This Row],[Quantidade]],TabelaVendas1__2[[#This Row],[Valor_Unitario]])</f>
        <v>2500</v>
      </c>
      <c r="N47">
        <f>SUM(TabelaVendas1__2[[#This Row],[Valor_UnitarioXQtd]],TabelaVendas1__2[[#This Row],[Valor_Lucro]])</f>
        <v>3500</v>
      </c>
      <c r="O47" s="2" t="s">
        <v>20</v>
      </c>
    </row>
    <row r="48" spans="1:15">
      <c r="A48" t="s">
        <v>80</v>
      </c>
      <c r="B48" t="s">
        <v>22</v>
      </c>
      <c r="C48" t="s">
        <v>33</v>
      </c>
      <c r="D48" t="s">
        <v>75</v>
      </c>
      <c r="E48" s="1">
        <v>42395</v>
      </c>
      <c r="F48" t="s">
        <v>19</v>
      </c>
      <c r="G48" t="str">
        <f ca="1">VLOOKUP(RAND(),{0,"Lucas";0.39,"Roberto";0.63,"Carla";0.78,"Pedro";0.93,"Emilly"},2,TRUE)</f>
        <v>Lucas</v>
      </c>
      <c r="H48">
        <v>2</v>
      </c>
      <c r="I48">
        <v>980</v>
      </c>
      <c r="J48">
        <v>0.4</v>
      </c>
      <c r="K48">
        <f>PRODUCT(TabelaVendas1__2[[#This Row],[Valor_UnitarioXQtd]],TabelaVendas1__2[[#This Row],[Percentual_Lucro]])</f>
        <v>784</v>
      </c>
      <c r="L48">
        <v>1960</v>
      </c>
      <c r="M48">
        <f>PRODUCT(TabelaVendas1__2[[#This Row],[Quantidade]],TabelaVendas1__2[[#This Row],[Valor_Unitario]])</f>
        <v>1960</v>
      </c>
      <c r="N48">
        <f>SUM(TabelaVendas1__2[[#This Row],[Valor_UnitarioXQtd]],TabelaVendas1__2[[#This Row],[Valor_Lucro]])</f>
        <v>2744</v>
      </c>
      <c r="O48" s="2" t="s">
        <v>76</v>
      </c>
    </row>
    <row r="49" spans="1:15">
      <c r="A49" t="s">
        <v>81</v>
      </c>
      <c r="B49" t="s">
        <v>22</v>
      </c>
      <c r="C49" t="s">
        <v>23</v>
      </c>
      <c r="D49" t="s">
        <v>75</v>
      </c>
      <c r="E49" s="1">
        <v>42395</v>
      </c>
      <c r="F49" t="s">
        <v>30</v>
      </c>
      <c r="G49" t="str">
        <f ca="1">VLOOKUP(RAND(),{0,"Lucas";0.39,"Roberto";0.63,"Carla";0.78,"Pedro";0.93,"Emilly"},2,TRUE)</f>
        <v>Pedro</v>
      </c>
      <c r="H49">
        <v>2</v>
      </c>
      <c r="I49">
        <v>1390</v>
      </c>
      <c r="J49">
        <v>0.4</v>
      </c>
      <c r="K49">
        <f>PRODUCT(TabelaVendas1__2[[#This Row],[Valor_UnitarioXQtd]],TabelaVendas1__2[[#This Row],[Percentual_Lucro]])</f>
        <v>1112</v>
      </c>
      <c r="L49">
        <v>2780</v>
      </c>
      <c r="M49">
        <f>PRODUCT(TabelaVendas1__2[[#This Row],[Quantidade]],TabelaVendas1__2[[#This Row],[Valor_Unitario]])</f>
        <v>2780</v>
      </c>
      <c r="N49">
        <f>SUM(TabelaVendas1__2[[#This Row],[Valor_UnitarioXQtd]],TabelaVendas1__2[[#This Row],[Valor_Lucro]])</f>
        <v>3892</v>
      </c>
      <c r="O49" s="2" t="s">
        <v>76</v>
      </c>
    </row>
    <row r="50" spans="1:15">
      <c r="A50" t="s">
        <v>82</v>
      </c>
      <c r="B50" t="s">
        <v>22</v>
      </c>
      <c r="C50" t="s">
        <v>23</v>
      </c>
      <c r="D50" t="s">
        <v>18</v>
      </c>
      <c r="E50" s="1">
        <v>42395</v>
      </c>
      <c r="F50" t="s">
        <v>30</v>
      </c>
      <c r="G50" t="str">
        <f ca="1">VLOOKUP(RAND(),{0,"Lucas";0.39,"Roberto";0.63,"Carla";0.78,"Pedro";0.93,"Emilly"},2,TRUE)</f>
        <v>Lucas</v>
      </c>
      <c r="H50">
        <v>1</v>
      </c>
      <c r="I50">
        <v>3150</v>
      </c>
      <c r="J50">
        <v>0.4</v>
      </c>
      <c r="K50">
        <f>PRODUCT(TabelaVendas1__2[[#This Row],[Valor_UnitarioXQtd]],TabelaVendas1__2[[#This Row],[Percentual_Lucro]])</f>
        <v>1260</v>
      </c>
      <c r="L50">
        <v>3150</v>
      </c>
      <c r="M50">
        <f>PRODUCT(TabelaVendas1__2[[#This Row],[Quantidade]],TabelaVendas1__2[[#This Row],[Valor_Unitario]])</f>
        <v>3150</v>
      </c>
      <c r="N50">
        <f>SUM(TabelaVendas1__2[[#This Row],[Valor_UnitarioXQtd]],TabelaVendas1__2[[#This Row],[Valor_Lucro]])</f>
        <v>4410</v>
      </c>
      <c r="O50" s="2" t="s">
        <v>20</v>
      </c>
    </row>
    <row r="51" spans="1:15">
      <c r="A51" t="s">
        <v>83</v>
      </c>
      <c r="B51" t="s">
        <v>22</v>
      </c>
      <c r="C51" t="s">
        <v>33</v>
      </c>
      <c r="D51" t="s">
        <v>34</v>
      </c>
      <c r="E51" s="1">
        <v>42395</v>
      </c>
      <c r="F51" t="s">
        <v>27</v>
      </c>
      <c r="G51" t="str">
        <f ca="1">VLOOKUP(RAND(),{0,"Lucas";0.39,"Roberto";0.63,"Carla";0.78,"Pedro";0.93,"Emilly"},2,TRUE)</f>
        <v>Roberto</v>
      </c>
      <c r="H51">
        <v>1</v>
      </c>
      <c r="I51">
        <v>700</v>
      </c>
      <c r="J51">
        <v>0.4</v>
      </c>
      <c r="K51">
        <f>PRODUCT(TabelaVendas1__2[[#This Row],[Valor_UnitarioXQtd]],TabelaVendas1__2[[#This Row],[Percentual_Lucro]])</f>
        <v>280</v>
      </c>
      <c r="L51">
        <v>700</v>
      </c>
      <c r="M51">
        <f>PRODUCT(TabelaVendas1__2[[#This Row],[Quantidade]],TabelaVendas1__2[[#This Row],[Valor_Unitario]])</f>
        <v>700</v>
      </c>
      <c r="N51">
        <f>SUM(TabelaVendas1__2[[#This Row],[Valor_UnitarioXQtd]],TabelaVendas1__2[[#This Row],[Valor_Lucro]])</f>
        <v>980</v>
      </c>
      <c r="O51" s="2" t="s">
        <v>35</v>
      </c>
    </row>
    <row r="52" spans="1:15">
      <c r="A52" t="s">
        <v>15</v>
      </c>
      <c r="B52" t="s">
        <v>22</v>
      </c>
      <c r="C52" t="s">
        <v>23</v>
      </c>
      <c r="D52" t="s">
        <v>18</v>
      </c>
      <c r="E52" s="1">
        <v>42395</v>
      </c>
      <c r="F52" t="s">
        <v>19</v>
      </c>
      <c r="G52" t="str">
        <f ca="1">VLOOKUP(RAND(),{0,"Lucas";0.39,"Roberto";0.63,"Carla";0.78,"Pedro";0.93,"Emilly"},2,TRUE)</f>
        <v>Lucas</v>
      </c>
      <c r="H52">
        <v>1</v>
      </c>
      <c r="I52">
        <v>1459</v>
      </c>
      <c r="J52">
        <v>0.4</v>
      </c>
      <c r="K52">
        <f>PRODUCT(TabelaVendas1__2[[#This Row],[Valor_UnitarioXQtd]],TabelaVendas1__2[[#This Row],[Percentual_Lucro]])</f>
        <v>583.6</v>
      </c>
      <c r="L52">
        <v>1459</v>
      </c>
      <c r="M52">
        <f>PRODUCT(TabelaVendas1__2[[#This Row],[Quantidade]],TabelaVendas1__2[[#This Row],[Valor_Unitario]])</f>
        <v>1459</v>
      </c>
      <c r="N52">
        <f>SUM(TabelaVendas1__2[[#This Row],[Valor_UnitarioXQtd]],TabelaVendas1__2[[#This Row],[Valor_Lucro]])</f>
        <v>2042.6</v>
      </c>
      <c r="O52" s="2" t="s">
        <v>20</v>
      </c>
    </row>
    <row r="53" spans="1:15">
      <c r="A53" t="s">
        <v>84</v>
      </c>
      <c r="B53" t="s">
        <v>22</v>
      </c>
      <c r="C53" t="s">
        <v>23</v>
      </c>
      <c r="D53" t="s">
        <v>37</v>
      </c>
      <c r="E53" s="1">
        <v>42427</v>
      </c>
      <c r="F53" t="s">
        <v>27</v>
      </c>
      <c r="G53" t="str">
        <f ca="1">VLOOKUP(RAND(),{0,"Lucas";0.39,"Roberto";0.63,"Carla";0.78,"Pedro";0.93,"Emilly"},2,TRUE)</f>
        <v>Pedro</v>
      </c>
      <c r="H53">
        <v>1</v>
      </c>
      <c r="I53">
        <v>1200</v>
      </c>
      <c r="J53">
        <v>0.4</v>
      </c>
      <c r="K53">
        <f>PRODUCT(TabelaVendas1__2[[#This Row],[Valor_UnitarioXQtd]],TabelaVendas1__2[[#This Row],[Percentual_Lucro]])</f>
        <v>480</v>
      </c>
      <c r="L53">
        <v>1200</v>
      </c>
      <c r="M53">
        <f>PRODUCT(TabelaVendas1__2[[#This Row],[Quantidade]],TabelaVendas1__2[[#This Row],[Valor_Unitario]])</f>
        <v>1200</v>
      </c>
      <c r="N53">
        <f>SUM(TabelaVendas1__2[[#This Row],[Valor_UnitarioXQtd]],TabelaVendas1__2[[#This Row],[Valor_Lucro]])</f>
        <v>1680</v>
      </c>
      <c r="O53" s="2" t="s">
        <v>38</v>
      </c>
    </row>
    <row r="54" spans="1:15">
      <c r="A54" t="s">
        <v>85</v>
      </c>
      <c r="B54" t="s">
        <v>22</v>
      </c>
      <c r="C54" t="s">
        <v>23</v>
      </c>
      <c r="D54" t="s">
        <v>54</v>
      </c>
      <c r="E54" s="1">
        <v>42427</v>
      </c>
      <c r="F54" t="s">
        <v>27</v>
      </c>
      <c r="G54" t="str">
        <f ca="1">VLOOKUP(RAND(),{0,"Lucas";0.39,"Roberto";0.63,"Carla";0.78,"Pedro";0.93,"Emilly"},2,TRUE)</f>
        <v>Pedro</v>
      </c>
      <c r="H54">
        <v>1</v>
      </c>
      <c r="I54">
        <v>1600</v>
      </c>
      <c r="J54">
        <v>0.4</v>
      </c>
      <c r="K54">
        <f>PRODUCT(TabelaVendas1__2[[#This Row],[Valor_UnitarioXQtd]],TabelaVendas1__2[[#This Row],[Percentual_Lucro]])</f>
        <v>640</v>
      </c>
      <c r="L54">
        <v>1600</v>
      </c>
      <c r="M54">
        <f>PRODUCT(TabelaVendas1__2[[#This Row],[Quantidade]],TabelaVendas1__2[[#This Row],[Valor_Unitario]])</f>
        <v>1600</v>
      </c>
      <c r="N54">
        <f>SUM(TabelaVendas1__2[[#This Row],[Valor_UnitarioXQtd]],TabelaVendas1__2[[#This Row],[Valor_Lucro]])</f>
        <v>2240</v>
      </c>
      <c r="O54" s="2" t="s">
        <v>55</v>
      </c>
    </row>
    <row r="55" spans="1:15">
      <c r="A55" t="s">
        <v>70</v>
      </c>
      <c r="B55" t="s">
        <v>22</v>
      </c>
      <c r="C55" t="s">
        <v>23</v>
      </c>
      <c r="D55" t="s">
        <v>34</v>
      </c>
      <c r="E55" s="1">
        <v>42427</v>
      </c>
      <c r="F55" t="s">
        <v>30</v>
      </c>
      <c r="G55" t="str">
        <f ca="1">VLOOKUP(RAND(),{0,"Lucas";0.39,"Roberto";0.63,"Carla";0.78,"Pedro";0.93,"Emilly"},2,TRUE)</f>
        <v>Carla</v>
      </c>
      <c r="H55">
        <v>1</v>
      </c>
      <c r="I55">
        <v>1560</v>
      </c>
      <c r="J55">
        <v>0.4</v>
      </c>
      <c r="K55">
        <f>PRODUCT(TabelaVendas1__2[[#This Row],[Valor_UnitarioXQtd]],TabelaVendas1__2[[#This Row],[Percentual_Lucro]])</f>
        <v>624</v>
      </c>
      <c r="L55">
        <v>1560</v>
      </c>
      <c r="M55">
        <f>PRODUCT(TabelaVendas1__2[[#This Row],[Quantidade]],TabelaVendas1__2[[#This Row],[Valor_Unitario]])</f>
        <v>1560</v>
      </c>
      <c r="N55">
        <f>SUM(TabelaVendas1__2[[#This Row],[Valor_UnitarioXQtd]],TabelaVendas1__2[[#This Row],[Valor_Lucro]])</f>
        <v>2184</v>
      </c>
      <c r="O55" s="2" t="s">
        <v>35</v>
      </c>
    </row>
    <row r="56" spans="1:15">
      <c r="A56" t="s">
        <v>81</v>
      </c>
      <c r="B56" t="s">
        <v>22</v>
      </c>
      <c r="C56" t="s">
        <v>23</v>
      </c>
      <c r="D56" t="s">
        <v>75</v>
      </c>
      <c r="E56" s="1">
        <v>42427</v>
      </c>
      <c r="F56" t="s">
        <v>27</v>
      </c>
      <c r="G56" t="str">
        <f ca="1">VLOOKUP(RAND(),{0,"Lucas";0.39,"Roberto";0.63,"Carla";0.78,"Pedro";0.93,"Emilly"},2,TRUE)</f>
        <v>Roberto</v>
      </c>
      <c r="H56">
        <v>2</v>
      </c>
      <c r="I56">
        <v>1390</v>
      </c>
      <c r="J56">
        <v>0.4</v>
      </c>
      <c r="K56">
        <f>PRODUCT(TabelaVendas1__2[[#This Row],[Valor_UnitarioXQtd]],TabelaVendas1__2[[#This Row],[Percentual_Lucro]])</f>
        <v>1112</v>
      </c>
      <c r="L56">
        <v>2780</v>
      </c>
      <c r="M56">
        <f>PRODUCT(TabelaVendas1__2[[#This Row],[Quantidade]],TabelaVendas1__2[[#This Row],[Valor_Unitario]])</f>
        <v>2780</v>
      </c>
      <c r="N56">
        <f>SUM(TabelaVendas1__2[[#This Row],[Valor_UnitarioXQtd]],TabelaVendas1__2[[#This Row],[Valor_Lucro]])</f>
        <v>3892</v>
      </c>
      <c r="O56" s="2" t="s">
        <v>76</v>
      </c>
    </row>
    <row r="57" spans="1:15">
      <c r="A57" t="s">
        <v>44</v>
      </c>
      <c r="B57" t="s">
        <v>16</v>
      </c>
      <c r="C57" t="s">
        <v>17</v>
      </c>
      <c r="D57" t="s">
        <v>42</v>
      </c>
      <c r="E57" s="1">
        <v>42427</v>
      </c>
      <c r="F57" t="s">
        <v>19</v>
      </c>
      <c r="G57" t="str">
        <f ca="1">VLOOKUP(RAND(),{0,"Lucas";0.39,"Roberto";0.63,"Carla";0.78,"Pedro";0.93,"Emilly"},2,TRUE)</f>
        <v>Lucas</v>
      </c>
      <c r="H57">
        <v>1</v>
      </c>
      <c r="I57">
        <v>950</v>
      </c>
      <c r="J57">
        <v>0.4</v>
      </c>
      <c r="K57">
        <f>PRODUCT(TabelaVendas1__2[[#This Row],[Valor_UnitarioXQtd]],TabelaVendas1__2[[#This Row],[Percentual_Lucro]])</f>
        <v>380</v>
      </c>
      <c r="L57">
        <v>950</v>
      </c>
      <c r="M57">
        <f>PRODUCT(TabelaVendas1__2[[#This Row],[Quantidade]],TabelaVendas1__2[[#This Row],[Valor_Unitario]])</f>
        <v>950</v>
      </c>
      <c r="N57">
        <f>SUM(TabelaVendas1__2[[#This Row],[Valor_UnitarioXQtd]],TabelaVendas1__2[[#This Row],[Valor_Lucro]])</f>
        <v>1330</v>
      </c>
      <c r="O57" s="2" t="s">
        <v>43</v>
      </c>
    </row>
    <row r="58" spans="1:15">
      <c r="A58" t="s">
        <v>67</v>
      </c>
      <c r="B58" t="s">
        <v>22</v>
      </c>
      <c r="C58" t="s">
        <v>23</v>
      </c>
      <c r="D58" t="s">
        <v>18</v>
      </c>
      <c r="E58" s="1">
        <v>42427</v>
      </c>
      <c r="F58" t="s">
        <v>30</v>
      </c>
      <c r="G58" t="str">
        <f ca="1">VLOOKUP(RAND(),{0,"Lucas";0.39,"Roberto";0.63,"Carla";0.78,"Pedro";0.93,"Emilly"},2,TRUE)</f>
        <v>Roberto</v>
      </c>
      <c r="H58">
        <v>1</v>
      </c>
      <c r="I58">
        <v>3800</v>
      </c>
      <c r="J58">
        <v>0.4</v>
      </c>
      <c r="K58">
        <f>PRODUCT(TabelaVendas1__2[[#This Row],[Valor_UnitarioXQtd]],TabelaVendas1__2[[#This Row],[Percentual_Lucro]])</f>
        <v>1520</v>
      </c>
      <c r="L58">
        <v>3800</v>
      </c>
      <c r="M58">
        <f>PRODUCT(TabelaVendas1__2[[#This Row],[Quantidade]],TabelaVendas1__2[[#This Row],[Valor_Unitario]])</f>
        <v>3800</v>
      </c>
      <c r="N58">
        <f>SUM(TabelaVendas1__2[[#This Row],[Valor_UnitarioXQtd]],TabelaVendas1__2[[#This Row],[Valor_Lucro]])</f>
        <v>5320</v>
      </c>
      <c r="O58" s="2" t="s">
        <v>20</v>
      </c>
    </row>
    <row r="59" spans="1:15">
      <c r="A59" t="s">
        <v>86</v>
      </c>
      <c r="B59" t="s">
        <v>22</v>
      </c>
      <c r="C59" t="s">
        <v>23</v>
      </c>
      <c r="D59" t="s">
        <v>18</v>
      </c>
      <c r="E59" s="1">
        <v>42427</v>
      </c>
      <c r="F59" t="s">
        <v>19</v>
      </c>
      <c r="G59" t="str">
        <f ca="1">VLOOKUP(RAND(),{0,"Lucas";0.39,"Roberto";0.63,"Carla";0.78,"Pedro";0.93,"Emilly"},2,TRUE)</f>
        <v>Roberto</v>
      </c>
      <c r="H59">
        <v>1</v>
      </c>
      <c r="I59">
        <v>895</v>
      </c>
      <c r="J59">
        <v>0.4</v>
      </c>
      <c r="K59">
        <f>PRODUCT(TabelaVendas1__2[[#This Row],[Valor_UnitarioXQtd]],TabelaVendas1__2[[#This Row],[Percentual_Lucro]])</f>
        <v>358</v>
      </c>
      <c r="L59">
        <v>895</v>
      </c>
      <c r="M59">
        <f>PRODUCT(TabelaVendas1__2[[#This Row],[Quantidade]],TabelaVendas1__2[[#This Row],[Valor_Unitario]])</f>
        <v>895</v>
      </c>
      <c r="N59">
        <f>SUM(TabelaVendas1__2[[#This Row],[Valor_UnitarioXQtd]],TabelaVendas1__2[[#This Row],[Valor_Lucro]])</f>
        <v>1253</v>
      </c>
      <c r="O59" s="2" t="s">
        <v>20</v>
      </c>
    </row>
    <row r="60" spans="1:15">
      <c r="A60" t="s">
        <v>53</v>
      </c>
      <c r="B60" t="s">
        <v>22</v>
      </c>
      <c r="C60" t="s">
        <v>23</v>
      </c>
      <c r="D60" t="s">
        <v>54</v>
      </c>
      <c r="E60" s="1">
        <v>42427</v>
      </c>
      <c r="F60" t="s">
        <v>19</v>
      </c>
      <c r="G60" t="str">
        <f ca="1">VLOOKUP(RAND(),{0,"Lucas";0.39,"Roberto";0.63,"Carla";0.78,"Pedro";0.93,"Emilly"},2,TRUE)</f>
        <v>Emilly</v>
      </c>
      <c r="H60">
        <v>1</v>
      </c>
      <c r="I60">
        <v>1190</v>
      </c>
      <c r="J60">
        <v>0.4</v>
      </c>
      <c r="K60">
        <f>PRODUCT(TabelaVendas1__2[[#This Row],[Valor_UnitarioXQtd]],TabelaVendas1__2[[#This Row],[Percentual_Lucro]])</f>
        <v>476</v>
      </c>
      <c r="L60">
        <v>1190</v>
      </c>
      <c r="M60">
        <f>PRODUCT(TabelaVendas1__2[[#This Row],[Quantidade]],TabelaVendas1__2[[#This Row],[Valor_Unitario]])</f>
        <v>1190</v>
      </c>
      <c r="N60">
        <f>SUM(TabelaVendas1__2[[#This Row],[Valor_UnitarioXQtd]],TabelaVendas1__2[[#This Row],[Valor_Lucro]])</f>
        <v>1666</v>
      </c>
      <c r="O60" s="2" t="s">
        <v>55</v>
      </c>
    </row>
    <row r="61" spans="1:15">
      <c r="A61" t="s">
        <v>87</v>
      </c>
      <c r="B61" t="s">
        <v>22</v>
      </c>
      <c r="C61" t="s">
        <v>23</v>
      </c>
      <c r="D61" t="s">
        <v>29</v>
      </c>
      <c r="E61" s="1">
        <v>42427</v>
      </c>
      <c r="F61" t="s">
        <v>30</v>
      </c>
      <c r="G61" t="str">
        <f ca="1">VLOOKUP(RAND(),{0,"Lucas";0.39,"Roberto";0.63,"Carla";0.78,"Pedro";0.93,"Emilly"},2,TRUE)</f>
        <v>Lucas</v>
      </c>
      <c r="H61">
        <v>1</v>
      </c>
      <c r="I61">
        <v>850</v>
      </c>
      <c r="J61">
        <v>0.4</v>
      </c>
      <c r="K61">
        <f>PRODUCT(TabelaVendas1__2[[#This Row],[Valor_UnitarioXQtd]],TabelaVendas1__2[[#This Row],[Percentual_Lucro]])</f>
        <v>340</v>
      </c>
      <c r="L61">
        <v>850</v>
      </c>
      <c r="M61">
        <f>PRODUCT(TabelaVendas1__2[[#This Row],[Quantidade]],TabelaVendas1__2[[#This Row],[Valor_Unitario]])</f>
        <v>850</v>
      </c>
      <c r="N61">
        <f>SUM(TabelaVendas1__2[[#This Row],[Valor_UnitarioXQtd]],TabelaVendas1__2[[#This Row],[Valor_Lucro]])</f>
        <v>1190</v>
      </c>
      <c r="O61" s="2" t="s">
        <v>31</v>
      </c>
    </row>
    <row r="62" spans="1:15">
      <c r="A62" t="s">
        <v>88</v>
      </c>
      <c r="B62" t="s">
        <v>22</v>
      </c>
      <c r="C62" t="s">
        <v>33</v>
      </c>
      <c r="D62" t="s">
        <v>34</v>
      </c>
      <c r="E62" s="1">
        <v>42427</v>
      </c>
      <c r="F62" t="s">
        <v>27</v>
      </c>
      <c r="G62" t="str">
        <f ca="1">VLOOKUP(RAND(),{0,"Lucas";0.39,"Roberto";0.63,"Carla";0.78,"Pedro";0.93,"Emilly"},2,TRUE)</f>
        <v>Roberto</v>
      </c>
      <c r="H62">
        <v>1</v>
      </c>
      <c r="I62">
        <v>1215</v>
      </c>
      <c r="J62">
        <v>0.4</v>
      </c>
      <c r="K62">
        <f>PRODUCT(TabelaVendas1__2[[#This Row],[Valor_UnitarioXQtd]],TabelaVendas1__2[[#This Row],[Percentual_Lucro]])</f>
        <v>486</v>
      </c>
      <c r="L62">
        <v>1215</v>
      </c>
      <c r="M62">
        <f>PRODUCT(TabelaVendas1__2[[#This Row],[Quantidade]],TabelaVendas1__2[[#This Row],[Valor_Unitario]])</f>
        <v>1215</v>
      </c>
      <c r="N62">
        <f>SUM(TabelaVendas1__2[[#This Row],[Valor_UnitarioXQtd]],TabelaVendas1__2[[#This Row],[Valor_Lucro]])</f>
        <v>1701</v>
      </c>
      <c r="O62" s="2" t="s">
        <v>35</v>
      </c>
    </row>
    <row r="63" spans="1:15">
      <c r="A63" t="s">
        <v>70</v>
      </c>
      <c r="B63" t="s">
        <v>22</v>
      </c>
      <c r="C63" t="s">
        <v>23</v>
      </c>
      <c r="D63" t="s">
        <v>34</v>
      </c>
      <c r="E63" s="1">
        <v>42460</v>
      </c>
      <c r="F63" t="s">
        <v>30</v>
      </c>
      <c r="G63" t="str">
        <f ca="1">VLOOKUP(RAND(),{0,"Lucas";0.39,"Roberto";0.63,"Carla";0.78,"Pedro";0.93,"Emilly"},2,TRUE)</f>
        <v>Lucas</v>
      </c>
      <c r="H63">
        <v>1</v>
      </c>
      <c r="I63">
        <v>1360.3</v>
      </c>
      <c r="J63">
        <v>0.4</v>
      </c>
      <c r="K63">
        <f>PRODUCT(TabelaVendas1__2[[#This Row],[Valor_UnitarioXQtd]],TabelaVendas1__2[[#This Row],[Percentual_Lucro]])</f>
        <v>544.12</v>
      </c>
      <c r="L63">
        <v>1360.3</v>
      </c>
      <c r="M63">
        <f>PRODUCT(TabelaVendas1__2[[#This Row],[Quantidade]],TabelaVendas1__2[[#This Row],[Valor_Unitario]])</f>
        <v>1360.3</v>
      </c>
      <c r="N63">
        <f>SUM(TabelaVendas1__2[[#This Row],[Valor_UnitarioXQtd]],TabelaVendas1__2[[#This Row],[Valor_Lucro]])</f>
        <v>1904.42</v>
      </c>
      <c r="O63" s="2" t="s">
        <v>35</v>
      </c>
    </row>
    <row r="64" spans="1:15">
      <c r="A64" t="s">
        <v>39</v>
      </c>
      <c r="B64" t="s">
        <v>22</v>
      </c>
      <c r="C64" t="s">
        <v>23</v>
      </c>
      <c r="D64" t="s">
        <v>37</v>
      </c>
      <c r="E64" s="1">
        <v>42460</v>
      </c>
      <c r="F64" t="s">
        <v>19</v>
      </c>
      <c r="G64" t="str">
        <f ca="1">VLOOKUP(RAND(),{0,"Lucas";0.39,"Roberto";0.63,"Carla";0.78,"Pedro";0.93,"Emilly"},2,TRUE)</f>
        <v>Emilly</v>
      </c>
      <c r="H64">
        <v>1</v>
      </c>
      <c r="I64">
        <v>2602.21</v>
      </c>
      <c r="J64">
        <v>0.4</v>
      </c>
      <c r="K64">
        <f>PRODUCT(TabelaVendas1__2[[#This Row],[Valor_UnitarioXQtd]],TabelaVendas1__2[[#This Row],[Percentual_Lucro]])</f>
        <v>1040.884</v>
      </c>
      <c r="L64">
        <v>2602.21</v>
      </c>
      <c r="M64">
        <f>PRODUCT(TabelaVendas1__2[[#This Row],[Quantidade]],TabelaVendas1__2[[#This Row],[Valor_Unitario]])</f>
        <v>2602.21</v>
      </c>
      <c r="N64">
        <f>SUM(TabelaVendas1__2[[#This Row],[Valor_UnitarioXQtd]],TabelaVendas1__2[[#This Row],[Valor_Lucro]])</f>
        <v>3643.0940000000001</v>
      </c>
      <c r="O64" s="2" t="s">
        <v>38</v>
      </c>
    </row>
    <row r="65" spans="1:15">
      <c r="A65" t="s">
        <v>41</v>
      </c>
      <c r="B65" t="s">
        <v>22</v>
      </c>
      <c r="C65" t="s">
        <v>23</v>
      </c>
      <c r="D65" t="s">
        <v>42</v>
      </c>
      <c r="E65" s="1">
        <v>42460</v>
      </c>
      <c r="F65" t="s">
        <v>19</v>
      </c>
      <c r="G65" t="str">
        <f ca="1">VLOOKUP(RAND(),{0,"Lucas";0.39,"Roberto";0.63,"Carla";0.78,"Pedro";0.93,"Emilly"},2,TRUE)</f>
        <v>Pedro</v>
      </c>
      <c r="H65">
        <v>1</v>
      </c>
      <c r="I65">
        <v>1130</v>
      </c>
      <c r="J65">
        <v>0.4</v>
      </c>
      <c r="K65">
        <f>PRODUCT(TabelaVendas1__2[[#This Row],[Valor_UnitarioXQtd]],TabelaVendas1__2[[#This Row],[Percentual_Lucro]])</f>
        <v>452</v>
      </c>
      <c r="L65">
        <v>1130</v>
      </c>
      <c r="M65">
        <f>PRODUCT(TabelaVendas1__2[[#This Row],[Quantidade]],TabelaVendas1__2[[#This Row],[Valor_Unitario]])</f>
        <v>1130</v>
      </c>
      <c r="N65">
        <f>SUM(TabelaVendas1__2[[#This Row],[Valor_UnitarioXQtd]],TabelaVendas1__2[[#This Row],[Valor_Lucro]])</f>
        <v>1582</v>
      </c>
      <c r="O65" s="2" t="s">
        <v>43</v>
      </c>
    </row>
    <row r="66" spans="1:15">
      <c r="A66" t="s">
        <v>89</v>
      </c>
      <c r="B66" t="s">
        <v>22</v>
      </c>
      <c r="C66" t="s">
        <v>23</v>
      </c>
      <c r="D66" t="s">
        <v>24</v>
      </c>
      <c r="E66" s="1">
        <v>42460</v>
      </c>
      <c r="F66" t="s">
        <v>30</v>
      </c>
      <c r="G66" t="str">
        <f ca="1">VLOOKUP(RAND(),{0,"Lucas";0.39,"Roberto";0.63,"Carla";0.78,"Pedro";0.93,"Emilly"},2,TRUE)</f>
        <v>Carla</v>
      </c>
      <c r="H66">
        <v>1</v>
      </c>
      <c r="I66">
        <v>1180</v>
      </c>
      <c r="J66">
        <v>0.4</v>
      </c>
      <c r="K66">
        <f>PRODUCT(TabelaVendas1__2[[#This Row],[Valor_UnitarioXQtd]],TabelaVendas1__2[[#This Row],[Percentual_Lucro]])</f>
        <v>472</v>
      </c>
      <c r="L66">
        <v>1180</v>
      </c>
      <c r="M66">
        <f>PRODUCT(TabelaVendas1__2[[#This Row],[Quantidade]],TabelaVendas1__2[[#This Row],[Valor_Unitario]])</f>
        <v>1180</v>
      </c>
      <c r="N66">
        <f>SUM(TabelaVendas1__2[[#This Row],[Valor_UnitarioXQtd]],TabelaVendas1__2[[#This Row],[Valor_Lucro]])</f>
        <v>1652</v>
      </c>
      <c r="O66" s="2" t="s">
        <v>25</v>
      </c>
    </row>
    <row r="67" spans="1:15">
      <c r="A67" t="s">
        <v>64</v>
      </c>
      <c r="B67" t="s">
        <v>22</v>
      </c>
      <c r="C67" t="s">
        <v>23</v>
      </c>
      <c r="D67" t="s">
        <v>18</v>
      </c>
      <c r="E67" s="1">
        <v>42460</v>
      </c>
      <c r="F67" t="s">
        <v>19</v>
      </c>
      <c r="G67" t="str">
        <f ca="1">VLOOKUP(RAND(),{0,"Lucas";0.39,"Roberto";0.63,"Carla";0.78,"Pedro";0.93,"Emilly"},2,TRUE)</f>
        <v>Roberto</v>
      </c>
      <c r="H67">
        <v>1</v>
      </c>
      <c r="I67">
        <v>1550</v>
      </c>
      <c r="J67">
        <v>0.4</v>
      </c>
      <c r="K67">
        <f>PRODUCT(TabelaVendas1__2[[#This Row],[Valor_UnitarioXQtd]],TabelaVendas1__2[[#This Row],[Percentual_Lucro]])</f>
        <v>620</v>
      </c>
      <c r="L67">
        <v>1550</v>
      </c>
      <c r="M67">
        <f>PRODUCT(TabelaVendas1__2[[#This Row],[Quantidade]],TabelaVendas1__2[[#This Row],[Valor_Unitario]])</f>
        <v>1550</v>
      </c>
      <c r="N67">
        <f>SUM(TabelaVendas1__2[[#This Row],[Valor_UnitarioXQtd]],TabelaVendas1__2[[#This Row],[Valor_Lucro]])</f>
        <v>2170</v>
      </c>
      <c r="O67" s="2" t="s">
        <v>20</v>
      </c>
    </row>
    <row r="68" spans="1:15">
      <c r="A68" t="s">
        <v>90</v>
      </c>
      <c r="B68" t="s">
        <v>22</v>
      </c>
      <c r="C68" t="s">
        <v>23</v>
      </c>
      <c r="D68" t="s">
        <v>54</v>
      </c>
      <c r="E68" s="1">
        <v>42460</v>
      </c>
      <c r="F68" t="s">
        <v>30</v>
      </c>
      <c r="G68" t="str">
        <f ca="1">VLOOKUP(RAND(),{0,"Lucas";0.39,"Roberto";0.63,"Carla";0.78,"Pedro";0.93,"Emilly"},2,TRUE)</f>
        <v>Roberto</v>
      </c>
      <c r="H68">
        <v>1</v>
      </c>
      <c r="I68">
        <v>1250</v>
      </c>
      <c r="J68">
        <v>0.4</v>
      </c>
      <c r="K68">
        <f>PRODUCT(TabelaVendas1__2[[#This Row],[Valor_UnitarioXQtd]],TabelaVendas1__2[[#This Row],[Percentual_Lucro]])</f>
        <v>500</v>
      </c>
      <c r="L68">
        <v>1250</v>
      </c>
      <c r="M68">
        <f>PRODUCT(TabelaVendas1__2[[#This Row],[Quantidade]],TabelaVendas1__2[[#This Row],[Valor_Unitario]])</f>
        <v>1250</v>
      </c>
      <c r="N68">
        <f>SUM(TabelaVendas1__2[[#This Row],[Valor_UnitarioXQtd]],TabelaVendas1__2[[#This Row],[Valor_Lucro]])</f>
        <v>1750</v>
      </c>
      <c r="O68" s="2" t="s">
        <v>55</v>
      </c>
    </row>
    <row r="69" spans="1:15">
      <c r="A69" t="s">
        <v>36</v>
      </c>
      <c r="B69" t="s">
        <v>22</v>
      </c>
      <c r="C69" t="s">
        <v>23</v>
      </c>
      <c r="D69" t="s">
        <v>37</v>
      </c>
      <c r="E69" s="1">
        <v>42490</v>
      </c>
      <c r="F69" t="s">
        <v>27</v>
      </c>
      <c r="G69" t="str">
        <f ca="1">VLOOKUP(RAND(),{0,"Lucas";0.39,"Roberto";0.63,"Carla";0.78,"Pedro";0.93,"Emilly"},2,TRUE)</f>
        <v>Emilly</v>
      </c>
      <c r="H69">
        <v>2</v>
      </c>
      <c r="I69">
        <v>2306.06</v>
      </c>
      <c r="J69">
        <v>0.4</v>
      </c>
      <c r="K69">
        <f>PRODUCT(TabelaVendas1__2[[#This Row],[Valor_UnitarioXQtd]],TabelaVendas1__2[[#This Row],[Percentual_Lucro]])</f>
        <v>1844.848</v>
      </c>
      <c r="L69">
        <v>4612.12</v>
      </c>
      <c r="M69">
        <f>PRODUCT(TabelaVendas1__2[[#This Row],[Quantidade]],TabelaVendas1__2[[#This Row],[Valor_Unitario]])</f>
        <v>4612.12</v>
      </c>
      <c r="N69">
        <f>SUM(TabelaVendas1__2[[#This Row],[Valor_UnitarioXQtd]],TabelaVendas1__2[[#This Row],[Valor_Lucro]])</f>
        <v>6456.9679999999998</v>
      </c>
      <c r="O69" s="2" t="s">
        <v>38</v>
      </c>
    </row>
    <row r="70" spans="1:15">
      <c r="A70" t="s">
        <v>74</v>
      </c>
      <c r="B70" t="s">
        <v>22</v>
      </c>
      <c r="C70" t="s">
        <v>23</v>
      </c>
      <c r="D70" t="s">
        <v>75</v>
      </c>
      <c r="E70" s="1">
        <v>42490</v>
      </c>
      <c r="F70" t="s">
        <v>19</v>
      </c>
      <c r="G70" t="str">
        <f ca="1">VLOOKUP(RAND(),{0,"Lucas";0.39,"Roberto";0.63,"Carla";0.78,"Pedro";0.93,"Emilly"},2,TRUE)</f>
        <v>Carla</v>
      </c>
      <c r="H70">
        <v>2</v>
      </c>
      <c r="I70">
        <v>1450</v>
      </c>
      <c r="J70">
        <v>0.4</v>
      </c>
      <c r="K70">
        <f>PRODUCT(TabelaVendas1__2[[#This Row],[Valor_UnitarioXQtd]],TabelaVendas1__2[[#This Row],[Percentual_Lucro]])</f>
        <v>1160</v>
      </c>
      <c r="L70">
        <v>2900</v>
      </c>
      <c r="M70">
        <f>PRODUCT(TabelaVendas1__2[[#This Row],[Quantidade]],TabelaVendas1__2[[#This Row],[Valor_Unitario]])</f>
        <v>2900</v>
      </c>
      <c r="N70">
        <f>SUM(TabelaVendas1__2[[#This Row],[Valor_UnitarioXQtd]],TabelaVendas1__2[[#This Row],[Valor_Lucro]])</f>
        <v>4060</v>
      </c>
      <c r="O70" s="2" t="s">
        <v>76</v>
      </c>
    </row>
    <row r="71" spans="1:15">
      <c r="A71" t="s">
        <v>91</v>
      </c>
      <c r="B71" t="s">
        <v>22</v>
      </c>
      <c r="C71" t="s">
        <v>23</v>
      </c>
      <c r="D71" t="s">
        <v>18</v>
      </c>
      <c r="E71" s="1">
        <v>42490</v>
      </c>
      <c r="F71" t="s">
        <v>30</v>
      </c>
      <c r="G71" t="str">
        <f ca="1">VLOOKUP(RAND(),{0,"Lucas";0.39,"Roberto";0.63,"Carla";0.78,"Pedro";0.93,"Emilly"},2,TRUE)</f>
        <v>Lucas</v>
      </c>
      <c r="H71">
        <v>1</v>
      </c>
      <c r="I71">
        <v>1550</v>
      </c>
      <c r="J71">
        <v>0.4</v>
      </c>
      <c r="K71">
        <f>PRODUCT(TabelaVendas1__2[[#This Row],[Valor_UnitarioXQtd]],TabelaVendas1__2[[#This Row],[Percentual_Lucro]])</f>
        <v>620</v>
      </c>
      <c r="L71">
        <v>1550</v>
      </c>
      <c r="M71">
        <f>PRODUCT(TabelaVendas1__2[[#This Row],[Quantidade]],TabelaVendas1__2[[#This Row],[Valor_Unitario]])</f>
        <v>1550</v>
      </c>
      <c r="N71">
        <f>SUM(TabelaVendas1__2[[#This Row],[Valor_UnitarioXQtd]],TabelaVendas1__2[[#This Row],[Valor_Lucro]])</f>
        <v>2170</v>
      </c>
      <c r="O71" s="2" t="s">
        <v>20</v>
      </c>
    </row>
    <row r="72" spans="1:15">
      <c r="A72" t="s">
        <v>92</v>
      </c>
      <c r="B72" t="s">
        <v>22</v>
      </c>
      <c r="C72" t="s">
        <v>23</v>
      </c>
      <c r="D72" t="s">
        <v>18</v>
      </c>
      <c r="E72" s="1">
        <v>42490</v>
      </c>
      <c r="F72" t="s">
        <v>30</v>
      </c>
      <c r="G72" t="str">
        <f ca="1">VLOOKUP(RAND(),{0,"Lucas";0.39,"Roberto";0.63,"Carla";0.78,"Pedro";0.93,"Emilly"},2,TRUE)</f>
        <v>Lucas</v>
      </c>
      <c r="H72">
        <v>1</v>
      </c>
      <c r="I72">
        <v>4950</v>
      </c>
      <c r="J72">
        <v>0.4</v>
      </c>
      <c r="K72">
        <f>PRODUCT(TabelaVendas1__2[[#This Row],[Valor_UnitarioXQtd]],TabelaVendas1__2[[#This Row],[Percentual_Lucro]])</f>
        <v>1980</v>
      </c>
      <c r="L72">
        <v>4950</v>
      </c>
      <c r="M72">
        <f>PRODUCT(TabelaVendas1__2[[#This Row],[Quantidade]],TabelaVendas1__2[[#This Row],[Valor_Unitario]])</f>
        <v>4950</v>
      </c>
      <c r="N72">
        <f>SUM(TabelaVendas1__2[[#This Row],[Valor_UnitarioXQtd]],TabelaVendas1__2[[#This Row],[Valor_Lucro]])</f>
        <v>6930</v>
      </c>
      <c r="O72" s="2" t="s">
        <v>20</v>
      </c>
    </row>
    <row r="73" spans="1:15">
      <c r="A73" t="s">
        <v>93</v>
      </c>
      <c r="B73" t="s">
        <v>22</v>
      </c>
      <c r="C73" t="s">
        <v>23</v>
      </c>
      <c r="D73" t="s">
        <v>34</v>
      </c>
      <c r="E73" s="1">
        <v>42490</v>
      </c>
      <c r="F73" t="s">
        <v>19</v>
      </c>
      <c r="G73" t="str">
        <f ca="1">VLOOKUP(RAND(),{0,"Lucas";0.39,"Roberto";0.63,"Carla";0.78,"Pedro";0.93,"Emilly"},2,TRUE)</f>
        <v>Lucas</v>
      </c>
      <c r="H73">
        <v>1</v>
      </c>
      <c r="I73">
        <v>850</v>
      </c>
      <c r="J73">
        <v>0.4</v>
      </c>
      <c r="K73">
        <f>PRODUCT(TabelaVendas1__2[[#This Row],[Valor_UnitarioXQtd]],TabelaVendas1__2[[#This Row],[Percentual_Lucro]])</f>
        <v>340</v>
      </c>
      <c r="L73">
        <v>850</v>
      </c>
      <c r="M73">
        <f>PRODUCT(TabelaVendas1__2[[#This Row],[Quantidade]],TabelaVendas1__2[[#This Row],[Valor_Unitario]])</f>
        <v>850</v>
      </c>
      <c r="N73">
        <f>SUM(TabelaVendas1__2[[#This Row],[Valor_UnitarioXQtd]],TabelaVendas1__2[[#This Row],[Valor_Lucro]])</f>
        <v>1190</v>
      </c>
      <c r="O73" s="2" t="s">
        <v>35</v>
      </c>
    </row>
    <row r="74" spans="1:15">
      <c r="A74" t="s">
        <v>70</v>
      </c>
      <c r="B74" t="s">
        <v>22</v>
      </c>
      <c r="C74" t="s">
        <v>23</v>
      </c>
      <c r="D74" t="s">
        <v>34</v>
      </c>
      <c r="E74" s="1">
        <v>42520</v>
      </c>
      <c r="F74" t="s">
        <v>19</v>
      </c>
      <c r="G74" t="str">
        <f ca="1">VLOOKUP(RAND(),{0,"Lucas";0.39,"Roberto";0.63,"Carla";0.78,"Pedro";0.93,"Emilly"},2,TRUE)</f>
        <v>Roberto</v>
      </c>
      <c r="H74">
        <v>1</v>
      </c>
      <c r="I74">
        <v>2119.63</v>
      </c>
      <c r="J74">
        <v>0.4</v>
      </c>
      <c r="K74">
        <f>PRODUCT(TabelaVendas1__2[[#This Row],[Valor_UnitarioXQtd]],TabelaVendas1__2[[#This Row],[Percentual_Lucro]])</f>
        <v>847.85200000000009</v>
      </c>
      <c r="L74">
        <v>2119.63</v>
      </c>
      <c r="M74">
        <f>PRODUCT(TabelaVendas1__2[[#This Row],[Quantidade]],TabelaVendas1__2[[#This Row],[Valor_Unitario]])</f>
        <v>2119.63</v>
      </c>
      <c r="N74">
        <f>SUM(TabelaVendas1__2[[#This Row],[Valor_UnitarioXQtd]],TabelaVendas1__2[[#This Row],[Valor_Lucro]])</f>
        <v>2967.482</v>
      </c>
      <c r="O74" s="2" t="s">
        <v>35</v>
      </c>
    </row>
    <row r="75" spans="1:15">
      <c r="A75" t="s">
        <v>67</v>
      </c>
      <c r="B75" t="s">
        <v>22</v>
      </c>
      <c r="C75" t="s">
        <v>23</v>
      </c>
      <c r="D75" t="s">
        <v>18</v>
      </c>
      <c r="E75" s="1">
        <v>42520</v>
      </c>
      <c r="F75" t="s">
        <v>27</v>
      </c>
      <c r="G75" t="str">
        <f ca="1">VLOOKUP(RAND(),{0,"Lucas";0.39,"Roberto";0.63,"Carla";0.78,"Pedro";0.93,"Emilly"},2,TRUE)</f>
        <v>Lucas</v>
      </c>
      <c r="H75">
        <v>1</v>
      </c>
      <c r="I75">
        <v>3800</v>
      </c>
      <c r="J75">
        <v>0.4</v>
      </c>
      <c r="K75">
        <f>PRODUCT(TabelaVendas1__2[[#This Row],[Valor_UnitarioXQtd]],TabelaVendas1__2[[#This Row],[Percentual_Lucro]])</f>
        <v>1520</v>
      </c>
      <c r="L75">
        <v>3800</v>
      </c>
      <c r="M75">
        <f>PRODUCT(TabelaVendas1__2[[#This Row],[Quantidade]],TabelaVendas1__2[[#This Row],[Valor_Unitario]])</f>
        <v>3800</v>
      </c>
      <c r="N75">
        <f>SUM(TabelaVendas1__2[[#This Row],[Valor_UnitarioXQtd]],TabelaVendas1__2[[#This Row],[Valor_Lucro]])</f>
        <v>5320</v>
      </c>
      <c r="O75" s="2" t="s">
        <v>20</v>
      </c>
    </row>
    <row r="76" spans="1:15">
      <c r="A76" t="s">
        <v>79</v>
      </c>
      <c r="B76" t="s">
        <v>22</v>
      </c>
      <c r="C76" t="s">
        <v>23</v>
      </c>
      <c r="D76" t="s">
        <v>18</v>
      </c>
      <c r="E76" s="1">
        <v>42549</v>
      </c>
      <c r="F76" t="s">
        <v>27</v>
      </c>
      <c r="G76" t="str">
        <f ca="1">VLOOKUP(RAND(),{0,"Lucas";0.39,"Roberto";0.63,"Carla";0.78,"Pedro";0.93,"Emilly"},2,TRUE)</f>
        <v>Roberto</v>
      </c>
      <c r="H76">
        <v>1</v>
      </c>
      <c r="I76">
        <v>4050</v>
      </c>
      <c r="J76">
        <v>0.4</v>
      </c>
      <c r="K76">
        <f>PRODUCT(TabelaVendas1__2[[#This Row],[Valor_UnitarioXQtd]],TabelaVendas1__2[[#This Row],[Percentual_Lucro]])</f>
        <v>1620</v>
      </c>
      <c r="L76">
        <v>4050</v>
      </c>
      <c r="M76">
        <f>PRODUCT(TabelaVendas1__2[[#This Row],[Quantidade]],TabelaVendas1__2[[#This Row],[Valor_Unitario]])</f>
        <v>4050</v>
      </c>
      <c r="N76">
        <f>SUM(TabelaVendas1__2[[#This Row],[Valor_UnitarioXQtd]],TabelaVendas1__2[[#This Row],[Valor_Lucro]])</f>
        <v>5670</v>
      </c>
      <c r="O76" s="2" t="s">
        <v>20</v>
      </c>
    </row>
    <row r="77" spans="1:15">
      <c r="A77" t="s">
        <v>94</v>
      </c>
      <c r="B77" t="s">
        <v>22</v>
      </c>
      <c r="C77" t="s">
        <v>33</v>
      </c>
      <c r="D77" t="s">
        <v>54</v>
      </c>
      <c r="E77" s="1">
        <v>42549</v>
      </c>
      <c r="F77" t="s">
        <v>30</v>
      </c>
      <c r="G77" t="str">
        <f ca="1">VLOOKUP(RAND(),{0,"Lucas";0.39,"Roberto";0.63,"Carla";0.78,"Pedro";0.93,"Emilly"},2,TRUE)</f>
        <v>Lucas</v>
      </c>
      <c r="H77">
        <v>1</v>
      </c>
      <c r="I77">
        <v>2790</v>
      </c>
      <c r="J77">
        <v>0.4</v>
      </c>
      <c r="K77">
        <f>PRODUCT(TabelaVendas1__2[[#This Row],[Valor_UnitarioXQtd]],TabelaVendas1__2[[#This Row],[Percentual_Lucro]])</f>
        <v>1116</v>
      </c>
      <c r="L77">
        <v>2790</v>
      </c>
      <c r="M77">
        <f>PRODUCT(TabelaVendas1__2[[#This Row],[Quantidade]],TabelaVendas1__2[[#This Row],[Valor_Unitario]])</f>
        <v>2790</v>
      </c>
      <c r="N77">
        <f>SUM(TabelaVendas1__2[[#This Row],[Valor_UnitarioXQtd]],TabelaVendas1__2[[#This Row],[Valor_Lucro]])</f>
        <v>3906</v>
      </c>
      <c r="O77" s="2" t="s">
        <v>55</v>
      </c>
    </row>
    <row r="78" spans="1:15">
      <c r="A78" t="s">
        <v>95</v>
      </c>
      <c r="B78" t="s">
        <v>22</v>
      </c>
      <c r="C78" t="s">
        <v>23</v>
      </c>
      <c r="D78" t="s">
        <v>42</v>
      </c>
      <c r="E78" s="1">
        <v>42549</v>
      </c>
      <c r="F78" t="s">
        <v>30</v>
      </c>
      <c r="G78" t="str">
        <f ca="1">VLOOKUP(RAND(),{0,"Lucas";0.39,"Roberto";0.63,"Carla";0.78,"Pedro";0.93,"Emilly"},2,TRUE)</f>
        <v>Lucas</v>
      </c>
      <c r="H78">
        <v>3</v>
      </c>
      <c r="I78">
        <v>500</v>
      </c>
      <c r="J78">
        <v>0.4</v>
      </c>
      <c r="K78">
        <f>PRODUCT(TabelaVendas1__2[[#This Row],[Valor_UnitarioXQtd]],TabelaVendas1__2[[#This Row],[Percentual_Lucro]])</f>
        <v>600</v>
      </c>
      <c r="L78">
        <v>500</v>
      </c>
      <c r="M78">
        <f>PRODUCT(TabelaVendas1__2[[#This Row],[Quantidade]],TabelaVendas1__2[[#This Row],[Valor_Unitario]])</f>
        <v>1500</v>
      </c>
      <c r="N78">
        <f>SUM(TabelaVendas1__2[[#This Row],[Valor_UnitarioXQtd]],TabelaVendas1__2[[#This Row],[Valor_Lucro]])</f>
        <v>2100</v>
      </c>
      <c r="O78" s="2" t="s">
        <v>43</v>
      </c>
    </row>
    <row r="79" spans="1:15">
      <c r="A79" t="s">
        <v>96</v>
      </c>
      <c r="B79" t="s">
        <v>22</v>
      </c>
      <c r="C79" t="s">
        <v>23</v>
      </c>
      <c r="D79" t="s">
        <v>97</v>
      </c>
      <c r="E79" s="1">
        <v>42549</v>
      </c>
      <c r="F79" t="s">
        <v>27</v>
      </c>
      <c r="G79" t="str">
        <f ca="1">VLOOKUP(RAND(),{0,"Lucas";0.39,"Roberto";0.63,"Carla";0.78,"Pedro";0.93,"Emilly"},2,TRUE)</f>
        <v>Carla</v>
      </c>
      <c r="H79">
        <v>16</v>
      </c>
      <c r="I79">
        <v>50</v>
      </c>
      <c r="J79">
        <v>0.4</v>
      </c>
      <c r="K79">
        <f>PRODUCT(TabelaVendas1__2[[#This Row],[Valor_UnitarioXQtd]],TabelaVendas1__2[[#This Row],[Percentual_Lucro]])</f>
        <v>320</v>
      </c>
      <c r="L79">
        <v>50</v>
      </c>
      <c r="M79">
        <f>PRODUCT(TabelaVendas1__2[[#This Row],[Quantidade]],TabelaVendas1__2[[#This Row],[Valor_Unitario]])</f>
        <v>800</v>
      </c>
      <c r="N79">
        <f>SUM(TabelaVendas1__2[[#This Row],[Valor_UnitarioXQtd]],TabelaVendas1__2[[#This Row],[Valor_Lucro]])</f>
        <v>1120</v>
      </c>
      <c r="O79" s="2" t="s">
        <v>98</v>
      </c>
    </row>
    <row r="80" spans="1:15">
      <c r="A80" t="s">
        <v>99</v>
      </c>
      <c r="B80" t="s">
        <v>16</v>
      </c>
      <c r="C80" t="s">
        <v>17</v>
      </c>
      <c r="D80" t="s">
        <v>37</v>
      </c>
      <c r="E80" s="1">
        <v>42549</v>
      </c>
      <c r="F80" t="s">
        <v>19</v>
      </c>
      <c r="G80" t="str">
        <f ca="1">VLOOKUP(RAND(),{0,"Lucas";0.39,"Roberto";0.63,"Carla";0.78,"Pedro";0.93,"Emilly"},2,TRUE)</f>
        <v>Pedro</v>
      </c>
      <c r="H80">
        <v>6</v>
      </c>
      <c r="I80">
        <v>100</v>
      </c>
      <c r="J80">
        <v>0.4</v>
      </c>
      <c r="K80">
        <f>PRODUCT(TabelaVendas1__2[[#This Row],[Valor_UnitarioXQtd]],TabelaVendas1__2[[#This Row],[Percentual_Lucro]])</f>
        <v>240</v>
      </c>
      <c r="L80">
        <v>100</v>
      </c>
      <c r="M80">
        <f>PRODUCT(TabelaVendas1__2[[#This Row],[Quantidade]],TabelaVendas1__2[[#This Row],[Valor_Unitario]])</f>
        <v>600</v>
      </c>
      <c r="N80">
        <f>SUM(TabelaVendas1__2[[#This Row],[Valor_UnitarioXQtd]],TabelaVendas1__2[[#This Row],[Valor_Lucro]])</f>
        <v>840</v>
      </c>
      <c r="O80" s="2" t="s">
        <v>38</v>
      </c>
    </row>
    <row r="81" spans="1:15">
      <c r="A81" t="s">
        <v>100</v>
      </c>
      <c r="B81" t="s">
        <v>22</v>
      </c>
      <c r="C81" t="s">
        <v>23</v>
      </c>
      <c r="D81" t="s">
        <v>29</v>
      </c>
      <c r="E81" s="1">
        <v>42549</v>
      </c>
      <c r="F81" t="s">
        <v>30</v>
      </c>
      <c r="G81" t="str">
        <f ca="1">VLOOKUP(RAND(),{0,"Lucas";0.39,"Roberto";0.63,"Carla";0.78,"Pedro";0.93,"Emilly"},2,TRUE)</f>
        <v>Carla</v>
      </c>
      <c r="H81">
        <v>5</v>
      </c>
      <c r="I81">
        <v>47.99</v>
      </c>
      <c r="J81">
        <v>0.4</v>
      </c>
      <c r="K81">
        <f>PRODUCT(TabelaVendas1__2[[#This Row],[Valor_UnitarioXQtd]],TabelaVendas1__2[[#This Row],[Percentual_Lucro]])</f>
        <v>95.980000000000018</v>
      </c>
      <c r="L81">
        <v>47.99</v>
      </c>
      <c r="M81">
        <f>PRODUCT(TabelaVendas1__2[[#This Row],[Quantidade]],TabelaVendas1__2[[#This Row],[Valor_Unitario]])</f>
        <v>239.95000000000002</v>
      </c>
      <c r="N81">
        <f>SUM(TabelaVendas1__2[[#This Row],[Valor_UnitarioXQtd]],TabelaVendas1__2[[#This Row],[Valor_Lucro]])</f>
        <v>335.93000000000006</v>
      </c>
      <c r="O81" s="2" t="s">
        <v>31</v>
      </c>
    </row>
    <row r="82" spans="1:15">
      <c r="A82" t="s">
        <v>101</v>
      </c>
      <c r="B82" t="s">
        <v>22</v>
      </c>
      <c r="C82" t="s">
        <v>23</v>
      </c>
      <c r="D82" t="s">
        <v>34</v>
      </c>
      <c r="E82" s="1">
        <v>42549</v>
      </c>
      <c r="F82" t="s">
        <v>27</v>
      </c>
      <c r="G82" t="str">
        <f ca="1">VLOOKUP(RAND(),{0,"Lucas";0.39,"Roberto";0.63,"Carla";0.78,"Pedro";0.93,"Emilly"},2,TRUE)</f>
        <v>Carla</v>
      </c>
      <c r="H82">
        <v>2</v>
      </c>
      <c r="I82">
        <v>119.99</v>
      </c>
      <c r="J82">
        <v>0.4</v>
      </c>
      <c r="K82">
        <f>PRODUCT(TabelaVendas1__2[[#This Row],[Valor_UnitarioXQtd]],TabelaVendas1__2[[#This Row],[Percentual_Lucro]])</f>
        <v>95.992000000000004</v>
      </c>
      <c r="L82">
        <v>119.99</v>
      </c>
      <c r="M82">
        <f>PRODUCT(TabelaVendas1__2[[#This Row],[Quantidade]],TabelaVendas1__2[[#This Row],[Valor_Unitario]])</f>
        <v>239.98</v>
      </c>
      <c r="N82">
        <f>SUM(TabelaVendas1__2[[#This Row],[Valor_UnitarioXQtd]],TabelaVendas1__2[[#This Row],[Valor_Lucro]])</f>
        <v>335.97199999999998</v>
      </c>
      <c r="O82" s="2" t="s">
        <v>35</v>
      </c>
    </row>
    <row r="83" spans="1:15">
      <c r="A83" t="s">
        <v>102</v>
      </c>
      <c r="B83" t="s">
        <v>22</v>
      </c>
      <c r="C83" t="s">
        <v>23</v>
      </c>
      <c r="D83" t="s">
        <v>75</v>
      </c>
      <c r="E83" s="1">
        <v>42579</v>
      </c>
      <c r="F83" t="s">
        <v>30</v>
      </c>
      <c r="G83" t="str">
        <f ca="1">VLOOKUP(RAND(),{0,"Lucas";0.39,"Roberto";0.63,"Carla";0.78,"Pedro";0.93,"Emilly"},2,TRUE)</f>
        <v>Lucas</v>
      </c>
      <c r="H83">
        <v>1</v>
      </c>
      <c r="I83">
        <v>668.37</v>
      </c>
      <c r="J83">
        <v>0.4</v>
      </c>
      <c r="K83">
        <f>PRODUCT(TabelaVendas1__2[[#This Row],[Valor_UnitarioXQtd]],TabelaVendas1__2[[#This Row],[Percentual_Lucro]])</f>
        <v>267.34800000000001</v>
      </c>
      <c r="L83">
        <v>668.37</v>
      </c>
      <c r="M83">
        <f>PRODUCT(TabelaVendas1__2[[#This Row],[Quantidade]],TabelaVendas1__2[[#This Row],[Valor_Unitario]])</f>
        <v>668.37</v>
      </c>
      <c r="N83">
        <f>SUM(TabelaVendas1__2[[#This Row],[Valor_UnitarioXQtd]],TabelaVendas1__2[[#This Row],[Valor_Lucro]])</f>
        <v>935.71800000000007</v>
      </c>
      <c r="O83" s="2" t="s">
        <v>76</v>
      </c>
    </row>
    <row r="84" spans="1:15">
      <c r="A84" t="s">
        <v>70</v>
      </c>
      <c r="B84" t="s">
        <v>22</v>
      </c>
      <c r="C84" t="s">
        <v>23</v>
      </c>
      <c r="D84" t="s">
        <v>34</v>
      </c>
      <c r="E84" s="1">
        <v>42579</v>
      </c>
      <c r="F84" t="s">
        <v>27</v>
      </c>
      <c r="G84" t="str">
        <f ca="1">VLOOKUP(RAND(),{0,"Lucas";0.39,"Roberto";0.63,"Carla";0.78,"Pedro";0.93,"Emilly"},2,TRUE)</f>
        <v>Lucas</v>
      </c>
      <c r="H84">
        <v>2</v>
      </c>
      <c r="I84">
        <v>334.19</v>
      </c>
      <c r="J84">
        <v>0.4</v>
      </c>
      <c r="K84">
        <f>PRODUCT(TabelaVendas1__2[[#This Row],[Valor_UnitarioXQtd]],TabelaVendas1__2[[#This Row],[Percentual_Lucro]])</f>
        <v>267.35200000000003</v>
      </c>
      <c r="L84">
        <v>668.38</v>
      </c>
      <c r="M84">
        <f>PRODUCT(TabelaVendas1__2[[#This Row],[Quantidade]],TabelaVendas1__2[[#This Row],[Valor_Unitario]])</f>
        <v>668.38</v>
      </c>
      <c r="N84">
        <f>SUM(TabelaVendas1__2[[#This Row],[Valor_UnitarioXQtd]],TabelaVendas1__2[[#This Row],[Valor_Lucro]])</f>
        <v>935.73199999999997</v>
      </c>
      <c r="O84" s="2" t="s">
        <v>35</v>
      </c>
    </row>
    <row r="85" spans="1:15">
      <c r="A85" t="s">
        <v>96</v>
      </c>
      <c r="B85" t="s">
        <v>22</v>
      </c>
      <c r="C85" t="s">
        <v>23</v>
      </c>
      <c r="D85" t="s">
        <v>97</v>
      </c>
      <c r="E85" s="1">
        <v>42579</v>
      </c>
      <c r="F85" t="s">
        <v>19</v>
      </c>
      <c r="G85" t="str">
        <f ca="1">VLOOKUP(RAND(),{0,"Lucas";0.39,"Roberto";0.63,"Carla";0.78,"Pedro";0.93,"Emilly"},2,TRUE)</f>
        <v>Carla</v>
      </c>
      <c r="H85">
        <v>1</v>
      </c>
      <c r="I85">
        <v>415.22</v>
      </c>
      <c r="J85">
        <v>0.4</v>
      </c>
      <c r="K85">
        <f>PRODUCT(TabelaVendas1__2[[#This Row],[Valor_UnitarioXQtd]],TabelaVendas1__2[[#This Row],[Percentual_Lucro]])</f>
        <v>166.08800000000002</v>
      </c>
      <c r="L85">
        <v>415.22</v>
      </c>
      <c r="M85">
        <f>PRODUCT(TabelaVendas1__2[[#This Row],[Quantidade]],TabelaVendas1__2[[#This Row],[Valor_Unitario]])</f>
        <v>415.22</v>
      </c>
      <c r="N85">
        <f>SUM(TabelaVendas1__2[[#This Row],[Valor_UnitarioXQtd]],TabelaVendas1__2[[#This Row],[Valor_Lucro]])</f>
        <v>581.30799999999999</v>
      </c>
      <c r="O85" s="2" t="s">
        <v>98</v>
      </c>
    </row>
    <row r="86" spans="1:15">
      <c r="A86" t="s">
        <v>36</v>
      </c>
      <c r="B86" t="s">
        <v>22</v>
      </c>
      <c r="C86" t="s">
        <v>23</v>
      </c>
      <c r="D86" t="s">
        <v>37</v>
      </c>
      <c r="E86" s="1">
        <v>42579</v>
      </c>
      <c r="F86" t="s">
        <v>30</v>
      </c>
      <c r="G86" t="str">
        <f ca="1">VLOOKUP(RAND(),{0,"Lucas";0.39,"Roberto";0.63,"Carla";0.78,"Pedro";0.93,"Emilly"},2,TRUE)</f>
        <v>Lucas</v>
      </c>
      <c r="H86">
        <v>1</v>
      </c>
      <c r="I86">
        <v>1200</v>
      </c>
      <c r="J86">
        <v>0.4</v>
      </c>
      <c r="K86">
        <f>PRODUCT(TabelaVendas1__2[[#This Row],[Valor_UnitarioXQtd]],TabelaVendas1__2[[#This Row],[Percentual_Lucro]])</f>
        <v>480</v>
      </c>
      <c r="L86">
        <v>1200</v>
      </c>
      <c r="M86">
        <f>PRODUCT(TabelaVendas1__2[[#This Row],[Quantidade]],TabelaVendas1__2[[#This Row],[Valor_Unitario]])</f>
        <v>1200</v>
      </c>
      <c r="N86">
        <f>SUM(TabelaVendas1__2[[#This Row],[Valor_UnitarioXQtd]],TabelaVendas1__2[[#This Row],[Valor_Lucro]])</f>
        <v>1680</v>
      </c>
      <c r="O86" s="2" t="s">
        <v>38</v>
      </c>
    </row>
    <row r="87" spans="1:15">
      <c r="A87" t="s">
        <v>58</v>
      </c>
      <c r="B87" t="s">
        <v>22</v>
      </c>
      <c r="C87" t="s">
        <v>23</v>
      </c>
      <c r="D87" t="s">
        <v>18</v>
      </c>
      <c r="E87" s="1">
        <v>42579</v>
      </c>
      <c r="F87" t="s">
        <v>19</v>
      </c>
      <c r="G87" t="str">
        <f ca="1">VLOOKUP(RAND(),{0,"Lucas";0.39,"Roberto";0.63,"Carla";0.78,"Pedro";0.93,"Emilly"},2,TRUE)</f>
        <v>Carla</v>
      </c>
      <c r="H87">
        <v>1</v>
      </c>
      <c r="I87">
        <v>7300</v>
      </c>
      <c r="J87">
        <v>0.4</v>
      </c>
      <c r="K87">
        <f>PRODUCT(TabelaVendas1__2[[#This Row],[Valor_UnitarioXQtd]],TabelaVendas1__2[[#This Row],[Percentual_Lucro]])</f>
        <v>2920</v>
      </c>
      <c r="L87">
        <v>7300</v>
      </c>
      <c r="M87">
        <f>PRODUCT(TabelaVendas1__2[[#This Row],[Quantidade]],TabelaVendas1__2[[#This Row],[Valor_Unitario]])</f>
        <v>7300</v>
      </c>
      <c r="N87">
        <f>SUM(TabelaVendas1__2[[#This Row],[Valor_UnitarioXQtd]],TabelaVendas1__2[[#This Row],[Valor_Lucro]])</f>
        <v>10220</v>
      </c>
      <c r="O87" s="2" t="s">
        <v>20</v>
      </c>
    </row>
    <row r="88" spans="1:15">
      <c r="A88" t="s">
        <v>102</v>
      </c>
      <c r="B88" t="s">
        <v>22</v>
      </c>
      <c r="C88" t="s">
        <v>23</v>
      </c>
      <c r="D88" t="s">
        <v>75</v>
      </c>
      <c r="E88" s="1">
        <v>42612</v>
      </c>
      <c r="F88" t="s">
        <v>19</v>
      </c>
      <c r="G88" t="str">
        <f ca="1">VLOOKUP(RAND(),{0,"Lucas";0.39,"Roberto";0.63,"Carla";0.78,"Pedro";0.93,"Emilly"},2,TRUE)</f>
        <v>Lucas</v>
      </c>
      <c r="H88">
        <v>2</v>
      </c>
      <c r="I88">
        <v>1403.73</v>
      </c>
      <c r="J88">
        <v>0.4</v>
      </c>
      <c r="K88">
        <f>PRODUCT(TabelaVendas1__2[[#This Row],[Valor_UnitarioXQtd]],TabelaVendas1__2[[#This Row],[Percentual_Lucro]])</f>
        <v>1122.9840000000002</v>
      </c>
      <c r="L88">
        <v>2807.46</v>
      </c>
      <c r="M88">
        <f>PRODUCT(TabelaVendas1__2[[#This Row],[Quantidade]],TabelaVendas1__2[[#This Row],[Valor_Unitario]])</f>
        <v>2807.46</v>
      </c>
      <c r="N88">
        <f>SUM(TabelaVendas1__2[[#This Row],[Valor_UnitarioXQtd]],TabelaVendas1__2[[#This Row],[Valor_Lucro]])</f>
        <v>3930.4440000000004</v>
      </c>
      <c r="O88" s="2" t="s">
        <v>76</v>
      </c>
    </row>
    <row r="89" spans="1:15">
      <c r="A89" t="s">
        <v>39</v>
      </c>
      <c r="B89" t="s">
        <v>22</v>
      </c>
      <c r="C89" t="s">
        <v>23</v>
      </c>
      <c r="D89" t="s">
        <v>37</v>
      </c>
      <c r="E89" s="1">
        <v>42612</v>
      </c>
      <c r="F89" t="s">
        <v>30</v>
      </c>
      <c r="G89" t="str">
        <f ca="1">VLOOKUP(RAND(),{0,"Lucas";0.39,"Roberto";0.63,"Carla";0.78,"Pedro";0.93,"Emilly"},2,TRUE)</f>
        <v>Lucas</v>
      </c>
      <c r="H89">
        <v>1</v>
      </c>
      <c r="I89">
        <v>1776.43</v>
      </c>
      <c r="J89">
        <v>0.4</v>
      </c>
      <c r="K89">
        <f>PRODUCT(TabelaVendas1__2[[#This Row],[Valor_UnitarioXQtd]],TabelaVendas1__2[[#This Row],[Percentual_Lucro]])</f>
        <v>710.57200000000012</v>
      </c>
      <c r="L89">
        <v>1776.43</v>
      </c>
      <c r="M89">
        <f>PRODUCT(TabelaVendas1__2[[#This Row],[Quantidade]],TabelaVendas1__2[[#This Row],[Valor_Unitario]])</f>
        <v>1776.43</v>
      </c>
      <c r="N89">
        <f>SUM(TabelaVendas1__2[[#This Row],[Valor_UnitarioXQtd]],TabelaVendas1__2[[#This Row],[Valor_Lucro]])</f>
        <v>2487.0020000000004</v>
      </c>
      <c r="O89" s="2" t="s">
        <v>38</v>
      </c>
    </row>
    <row r="90" spans="1:15">
      <c r="A90" t="s">
        <v>101</v>
      </c>
      <c r="B90" t="s">
        <v>22</v>
      </c>
      <c r="C90" t="s">
        <v>23</v>
      </c>
      <c r="D90" t="s">
        <v>34</v>
      </c>
      <c r="E90" s="1">
        <v>42612</v>
      </c>
      <c r="F90" t="s">
        <v>27</v>
      </c>
      <c r="G90" t="str">
        <f ca="1">VLOOKUP(RAND(),{0,"Lucas";0.39,"Roberto";0.63,"Carla";0.78,"Pedro";0.93,"Emilly"},2,TRUE)</f>
        <v>Lucas</v>
      </c>
      <c r="H90">
        <v>2</v>
      </c>
      <c r="I90">
        <v>1529.28</v>
      </c>
      <c r="J90">
        <v>0.4</v>
      </c>
      <c r="K90">
        <f>PRODUCT(TabelaVendas1__2[[#This Row],[Valor_UnitarioXQtd]],TabelaVendas1__2[[#This Row],[Percentual_Lucro]])</f>
        <v>1223.424</v>
      </c>
      <c r="L90">
        <v>3058.56</v>
      </c>
      <c r="M90">
        <f>PRODUCT(TabelaVendas1__2[[#This Row],[Quantidade]],TabelaVendas1__2[[#This Row],[Valor_Unitario]])</f>
        <v>3058.56</v>
      </c>
      <c r="N90">
        <f>SUM(TabelaVendas1__2[[#This Row],[Valor_UnitarioXQtd]],TabelaVendas1__2[[#This Row],[Valor_Lucro]])</f>
        <v>4281.9840000000004</v>
      </c>
      <c r="O90" s="2" t="s">
        <v>35</v>
      </c>
    </row>
    <row r="91" spans="1:15">
      <c r="A91" t="s">
        <v>103</v>
      </c>
      <c r="B91" t="s">
        <v>22</v>
      </c>
      <c r="C91" t="s">
        <v>23</v>
      </c>
      <c r="D91" t="s">
        <v>18</v>
      </c>
      <c r="E91" s="1">
        <v>42612</v>
      </c>
      <c r="F91" t="s">
        <v>27</v>
      </c>
      <c r="G91" t="str">
        <f ca="1">VLOOKUP(RAND(),{0,"Lucas";0.39,"Roberto";0.63,"Carla";0.78,"Pedro";0.93,"Emilly"},2,TRUE)</f>
        <v>Roberto</v>
      </c>
      <c r="H91">
        <v>1</v>
      </c>
      <c r="I91">
        <v>3600</v>
      </c>
      <c r="J91">
        <v>0.4</v>
      </c>
      <c r="K91">
        <f>PRODUCT(TabelaVendas1__2[[#This Row],[Valor_UnitarioXQtd]],TabelaVendas1__2[[#This Row],[Percentual_Lucro]])</f>
        <v>1440</v>
      </c>
      <c r="L91">
        <v>3600</v>
      </c>
      <c r="M91">
        <f>PRODUCT(TabelaVendas1__2[[#This Row],[Quantidade]],TabelaVendas1__2[[#This Row],[Valor_Unitario]])</f>
        <v>3600</v>
      </c>
      <c r="N91">
        <f>SUM(TabelaVendas1__2[[#This Row],[Valor_UnitarioXQtd]],TabelaVendas1__2[[#This Row],[Valor_Lucro]])</f>
        <v>5040</v>
      </c>
      <c r="O91" s="2" t="s">
        <v>20</v>
      </c>
    </row>
    <row r="92" spans="1:15">
      <c r="A92" t="s">
        <v>53</v>
      </c>
      <c r="B92" t="s">
        <v>22</v>
      </c>
      <c r="C92" t="s">
        <v>23</v>
      </c>
      <c r="D92" t="s">
        <v>54</v>
      </c>
      <c r="E92" s="1">
        <v>42612</v>
      </c>
      <c r="F92" t="s">
        <v>30</v>
      </c>
      <c r="G92" t="str">
        <f ca="1">VLOOKUP(RAND(),{0,"Lucas";0.39,"Roberto";0.63,"Carla";0.78,"Pedro";0.93,"Emilly"},2,TRUE)</f>
        <v>Lucas</v>
      </c>
      <c r="H92">
        <v>1</v>
      </c>
      <c r="I92">
        <v>2500</v>
      </c>
      <c r="J92">
        <v>0.4</v>
      </c>
      <c r="K92">
        <f>PRODUCT(TabelaVendas1__2[[#This Row],[Valor_UnitarioXQtd]],TabelaVendas1__2[[#This Row],[Percentual_Lucro]])</f>
        <v>1000</v>
      </c>
      <c r="L92">
        <v>2500</v>
      </c>
      <c r="M92">
        <f>PRODUCT(TabelaVendas1__2[[#This Row],[Quantidade]],TabelaVendas1__2[[#This Row],[Valor_Unitario]])</f>
        <v>2500</v>
      </c>
      <c r="N92">
        <f>SUM(TabelaVendas1__2[[#This Row],[Valor_UnitarioXQtd]],TabelaVendas1__2[[#This Row],[Valor_Lucro]])</f>
        <v>3500</v>
      </c>
      <c r="O92" s="2" t="s">
        <v>55</v>
      </c>
    </row>
    <row r="93" spans="1:15">
      <c r="A93" t="s">
        <v>91</v>
      </c>
      <c r="B93" t="s">
        <v>22</v>
      </c>
      <c r="C93" t="s">
        <v>23</v>
      </c>
      <c r="D93" t="s">
        <v>18</v>
      </c>
      <c r="E93" s="1">
        <v>42643</v>
      </c>
      <c r="F93" t="s">
        <v>27</v>
      </c>
      <c r="G93" t="str">
        <f ca="1">VLOOKUP(RAND(),{0,"Lucas";0.39,"Roberto";0.63,"Carla";0.78,"Pedro";0.93,"Emilly"},2,TRUE)</f>
        <v>Roberto</v>
      </c>
      <c r="H93">
        <v>1</v>
      </c>
      <c r="I93">
        <v>1500</v>
      </c>
      <c r="J93">
        <v>0.4</v>
      </c>
      <c r="K93">
        <f>PRODUCT(TabelaVendas1__2[[#This Row],[Valor_UnitarioXQtd]],TabelaVendas1__2[[#This Row],[Percentual_Lucro]])</f>
        <v>600</v>
      </c>
      <c r="L93">
        <v>1500</v>
      </c>
      <c r="M93">
        <f>PRODUCT(TabelaVendas1__2[[#This Row],[Quantidade]],TabelaVendas1__2[[#This Row],[Valor_Unitario]])</f>
        <v>1500</v>
      </c>
      <c r="N93">
        <f>SUM(TabelaVendas1__2[[#This Row],[Valor_UnitarioXQtd]],TabelaVendas1__2[[#This Row],[Valor_Lucro]])</f>
        <v>2100</v>
      </c>
      <c r="O93" s="2" t="s">
        <v>20</v>
      </c>
    </row>
    <row r="94" spans="1:15">
      <c r="A94" t="s">
        <v>65</v>
      </c>
      <c r="B94" t="s">
        <v>22</v>
      </c>
      <c r="C94" t="s">
        <v>23</v>
      </c>
      <c r="D94" t="s">
        <v>54</v>
      </c>
      <c r="E94" s="1">
        <v>42643</v>
      </c>
      <c r="F94" t="s">
        <v>30</v>
      </c>
      <c r="G94" t="str">
        <f ca="1">VLOOKUP(RAND(),{0,"Lucas";0.39,"Roberto";0.63,"Carla";0.78,"Pedro";0.93,"Emilly"},2,TRUE)</f>
        <v>Carla</v>
      </c>
      <c r="H94">
        <v>1</v>
      </c>
      <c r="I94">
        <v>1400</v>
      </c>
      <c r="J94">
        <v>0.4</v>
      </c>
      <c r="K94">
        <f>PRODUCT(TabelaVendas1__2[[#This Row],[Valor_UnitarioXQtd]],TabelaVendas1__2[[#This Row],[Percentual_Lucro]])</f>
        <v>560</v>
      </c>
      <c r="L94">
        <v>1400</v>
      </c>
      <c r="M94">
        <f>PRODUCT(TabelaVendas1__2[[#This Row],[Quantidade]],TabelaVendas1__2[[#This Row],[Valor_Unitario]])</f>
        <v>1400</v>
      </c>
      <c r="N94">
        <f>SUM(TabelaVendas1__2[[#This Row],[Valor_UnitarioXQtd]],TabelaVendas1__2[[#This Row],[Valor_Lucro]])</f>
        <v>1960</v>
      </c>
      <c r="O94" s="2" t="s">
        <v>55</v>
      </c>
    </row>
    <row r="95" spans="1:15">
      <c r="A95" t="s">
        <v>72</v>
      </c>
      <c r="B95" t="s">
        <v>22</v>
      </c>
      <c r="C95" t="s">
        <v>23</v>
      </c>
      <c r="D95" t="s">
        <v>47</v>
      </c>
      <c r="E95" s="1">
        <v>42643</v>
      </c>
      <c r="F95" t="s">
        <v>30</v>
      </c>
      <c r="G95" t="str">
        <f ca="1">VLOOKUP(RAND(),{0,"Lucas";0.39,"Roberto";0.63,"Carla";0.78,"Pedro";0.93,"Emilly"},2,TRUE)</f>
        <v>Lucas</v>
      </c>
      <c r="H95">
        <v>1</v>
      </c>
      <c r="I95">
        <v>3500</v>
      </c>
      <c r="J95">
        <v>0.4</v>
      </c>
      <c r="K95">
        <f>PRODUCT(TabelaVendas1__2[[#This Row],[Valor_UnitarioXQtd]],TabelaVendas1__2[[#This Row],[Percentual_Lucro]])</f>
        <v>1400</v>
      </c>
      <c r="L95">
        <v>3500</v>
      </c>
      <c r="M95">
        <f>PRODUCT(TabelaVendas1__2[[#This Row],[Quantidade]],TabelaVendas1__2[[#This Row],[Valor_Unitario]])</f>
        <v>3500</v>
      </c>
      <c r="N95">
        <f>SUM(TabelaVendas1__2[[#This Row],[Valor_UnitarioXQtd]],TabelaVendas1__2[[#This Row],[Valor_Lucro]])</f>
        <v>4900</v>
      </c>
      <c r="O95" s="2" t="s">
        <v>48</v>
      </c>
    </row>
    <row r="96" spans="1:15">
      <c r="A96" t="s">
        <v>102</v>
      </c>
      <c r="B96" t="s">
        <v>22</v>
      </c>
      <c r="C96" t="s">
        <v>23</v>
      </c>
      <c r="D96" t="s">
        <v>75</v>
      </c>
      <c r="E96" s="1">
        <v>42643</v>
      </c>
      <c r="F96" t="s">
        <v>27</v>
      </c>
      <c r="G96" t="str">
        <f ca="1">VLOOKUP(RAND(),{0,"Lucas";0.39,"Roberto";0.63,"Carla";0.78,"Pedro";0.93,"Emilly"},2,TRUE)</f>
        <v>Lucas</v>
      </c>
      <c r="H96">
        <v>4</v>
      </c>
      <c r="I96">
        <v>30</v>
      </c>
      <c r="J96">
        <v>0.4</v>
      </c>
      <c r="K96">
        <f>PRODUCT(TabelaVendas1__2[[#This Row],[Valor_UnitarioXQtd]],TabelaVendas1__2[[#This Row],[Percentual_Lucro]])</f>
        <v>48</v>
      </c>
      <c r="L96">
        <v>30</v>
      </c>
      <c r="M96">
        <f>PRODUCT(TabelaVendas1__2[[#This Row],[Quantidade]],TabelaVendas1__2[[#This Row],[Valor_Unitario]])</f>
        <v>120</v>
      </c>
      <c r="N96">
        <f>SUM(TabelaVendas1__2[[#This Row],[Valor_UnitarioXQtd]],TabelaVendas1__2[[#This Row],[Valor_Lucro]])</f>
        <v>168</v>
      </c>
      <c r="O96" s="2" t="s">
        <v>76</v>
      </c>
    </row>
    <row r="97" spans="1:15">
      <c r="A97" t="s">
        <v>102</v>
      </c>
      <c r="B97" t="s">
        <v>22</v>
      </c>
      <c r="C97" t="s">
        <v>23</v>
      </c>
      <c r="D97" t="s">
        <v>75</v>
      </c>
      <c r="E97" s="1">
        <v>42643</v>
      </c>
      <c r="F97" t="s">
        <v>19</v>
      </c>
      <c r="G97" t="str">
        <f ca="1">VLOOKUP(RAND(),{0,"Lucas";0.39,"Roberto";0.63,"Carla";0.78,"Pedro";0.93,"Emilly"},2,TRUE)</f>
        <v>Lucas</v>
      </c>
      <c r="H97">
        <v>3</v>
      </c>
      <c r="I97">
        <v>35</v>
      </c>
      <c r="J97">
        <v>0.4</v>
      </c>
      <c r="K97">
        <f>PRODUCT(TabelaVendas1__2[[#This Row],[Valor_UnitarioXQtd]],TabelaVendas1__2[[#This Row],[Percentual_Lucro]])</f>
        <v>42</v>
      </c>
      <c r="L97">
        <v>35</v>
      </c>
      <c r="M97">
        <f>PRODUCT(TabelaVendas1__2[[#This Row],[Quantidade]],TabelaVendas1__2[[#This Row],[Valor_Unitario]])</f>
        <v>105</v>
      </c>
      <c r="N97">
        <f>SUM(TabelaVendas1__2[[#This Row],[Valor_UnitarioXQtd]],TabelaVendas1__2[[#This Row],[Valor_Lucro]])</f>
        <v>147</v>
      </c>
      <c r="O97" s="2" t="s">
        <v>76</v>
      </c>
    </row>
    <row r="98" spans="1:15">
      <c r="A98" t="s">
        <v>96</v>
      </c>
      <c r="B98" t="s">
        <v>22</v>
      </c>
      <c r="C98" t="s">
        <v>23</v>
      </c>
      <c r="D98" t="s">
        <v>97</v>
      </c>
      <c r="E98" s="1">
        <v>42643</v>
      </c>
      <c r="F98" t="s">
        <v>30</v>
      </c>
      <c r="G98" t="str">
        <f ca="1">VLOOKUP(RAND(),{0,"Lucas";0.39,"Roberto";0.63,"Carla";0.78,"Pedro";0.93,"Emilly"},2,TRUE)</f>
        <v>Lucas</v>
      </c>
      <c r="H98">
        <v>2</v>
      </c>
      <c r="I98">
        <v>50</v>
      </c>
      <c r="J98">
        <v>0.4</v>
      </c>
      <c r="K98">
        <f>PRODUCT(TabelaVendas1__2[[#This Row],[Valor_UnitarioXQtd]],TabelaVendas1__2[[#This Row],[Percentual_Lucro]])</f>
        <v>40</v>
      </c>
      <c r="L98">
        <v>50</v>
      </c>
      <c r="M98">
        <f>PRODUCT(TabelaVendas1__2[[#This Row],[Quantidade]],TabelaVendas1__2[[#This Row],[Valor_Unitario]])</f>
        <v>100</v>
      </c>
      <c r="N98">
        <f>SUM(TabelaVendas1__2[[#This Row],[Valor_UnitarioXQtd]],TabelaVendas1__2[[#This Row],[Valor_Lucro]])</f>
        <v>140</v>
      </c>
      <c r="O98" s="2" t="s">
        <v>98</v>
      </c>
    </row>
    <row r="99" spans="1:15">
      <c r="A99" t="s">
        <v>104</v>
      </c>
      <c r="B99" t="s">
        <v>16</v>
      </c>
      <c r="C99" t="s">
        <v>17</v>
      </c>
      <c r="D99" t="s">
        <v>37</v>
      </c>
      <c r="E99" s="1">
        <v>42643</v>
      </c>
      <c r="F99" t="s">
        <v>27</v>
      </c>
      <c r="G99" t="str">
        <f ca="1">VLOOKUP(RAND(),{0,"Lucas";0.39,"Roberto";0.63,"Carla";0.78,"Pedro";0.93,"Emilly"},2,TRUE)</f>
        <v>Lucas</v>
      </c>
      <c r="H99">
        <v>2</v>
      </c>
      <c r="I99">
        <v>57.5</v>
      </c>
      <c r="J99">
        <v>0.4</v>
      </c>
      <c r="K99">
        <f>PRODUCT(TabelaVendas1__2[[#This Row],[Valor_UnitarioXQtd]],TabelaVendas1__2[[#This Row],[Percentual_Lucro]])</f>
        <v>46</v>
      </c>
      <c r="L99">
        <v>57.5</v>
      </c>
      <c r="M99">
        <f>PRODUCT(TabelaVendas1__2[[#This Row],[Quantidade]],TabelaVendas1__2[[#This Row],[Valor_Unitario]])</f>
        <v>115</v>
      </c>
      <c r="N99">
        <f>SUM(TabelaVendas1__2[[#This Row],[Valor_UnitarioXQtd]],TabelaVendas1__2[[#This Row],[Valor_Lucro]])</f>
        <v>161</v>
      </c>
      <c r="O99" s="2" t="s">
        <v>38</v>
      </c>
    </row>
    <row r="100" spans="1:15">
      <c r="A100" t="s">
        <v>39</v>
      </c>
      <c r="B100" t="s">
        <v>22</v>
      </c>
      <c r="C100" t="s">
        <v>23</v>
      </c>
      <c r="D100" t="s">
        <v>37</v>
      </c>
      <c r="E100" s="1">
        <v>42671</v>
      </c>
      <c r="F100" t="s">
        <v>27</v>
      </c>
      <c r="G100" t="str">
        <f ca="1">VLOOKUP(RAND(),{0,"Lucas";0.39,"Roberto";0.63,"Carla";0.78,"Pedro";0.93,"Emilly"},2,TRUE)</f>
        <v>Roberto</v>
      </c>
      <c r="H100">
        <v>1</v>
      </c>
      <c r="I100">
        <v>1373.23</v>
      </c>
      <c r="J100">
        <v>0.4</v>
      </c>
      <c r="K100">
        <f>PRODUCT(TabelaVendas1__2[[#This Row],[Valor_UnitarioXQtd]],TabelaVendas1__2[[#This Row],[Percentual_Lucro]])</f>
        <v>549.29200000000003</v>
      </c>
      <c r="L100">
        <v>1373.23</v>
      </c>
      <c r="M100">
        <f>PRODUCT(TabelaVendas1__2[[#This Row],[Quantidade]],TabelaVendas1__2[[#This Row],[Valor_Unitario]])</f>
        <v>1373.23</v>
      </c>
      <c r="N100">
        <f>SUM(TabelaVendas1__2[[#This Row],[Valor_UnitarioXQtd]],TabelaVendas1__2[[#This Row],[Valor_Lucro]])</f>
        <v>1922.5219999999999</v>
      </c>
      <c r="O100" s="2" t="s">
        <v>38</v>
      </c>
    </row>
    <row r="101" spans="1:15">
      <c r="A101" t="s">
        <v>105</v>
      </c>
      <c r="B101" t="s">
        <v>22</v>
      </c>
      <c r="C101" t="s">
        <v>23</v>
      </c>
      <c r="D101" t="s">
        <v>18</v>
      </c>
      <c r="E101" s="1">
        <v>42671</v>
      </c>
      <c r="F101" t="s">
        <v>27</v>
      </c>
      <c r="G101" t="str">
        <f ca="1">VLOOKUP(RAND(),{0,"Lucas";0.39,"Roberto";0.63,"Carla";0.78,"Pedro";0.93,"Emilly"},2,TRUE)</f>
        <v>Lucas</v>
      </c>
      <c r="H101">
        <v>1</v>
      </c>
      <c r="I101">
        <v>3500</v>
      </c>
      <c r="J101">
        <v>0.4</v>
      </c>
      <c r="K101">
        <f>PRODUCT(TabelaVendas1__2[[#This Row],[Valor_UnitarioXQtd]],TabelaVendas1__2[[#This Row],[Percentual_Lucro]])</f>
        <v>1400</v>
      </c>
      <c r="L101">
        <v>3500</v>
      </c>
      <c r="M101">
        <f>PRODUCT(TabelaVendas1__2[[#This Row],[Quantidade]],TabelaVendas1__2[[#This Row],[Valor_Unitario]])</f>
        <v>3500</v>
      </c>
      <c r="N101">
        <f>SUM(TabelaVendas1__2[[#This Row],[Valor_UnitarioXQtd]],TabelaVendas1__2[[#This Row],[Valor_Lucro]])</f>
        <v>4900</v>
      </c>
      <c r="O101" s="2" t="s">
        <v>20</v>
      </c>
    </row>
    <row r="102" spans="1:15">
      <c r="A102" t="s">
        <v>53</v>
      </c>
      <c r="B102" t="s">
        <v>22</v>
      </c>
      <c r="C102" t="s">
        <v>23</v>
      </c>
      <c r="D102" t="s">
        <v>54</v>
      </c>
      <c r="E102" s="1">
        <v>42671</v>
      </c>
      <c r="F102" t="s">
        <v>27</v>
      </c>
      <c r="G102" t="str">
        <f ca="1">VLOOKUP(RAND(),{0,"Lucas";0.39,"Roberto";0.63,"Carla";0.78,"Pedro";0.93,"Emilly"},2,TRUE)</f>
        <v>Roberto</v>
      </c>
      <c r="H102">
        <v>1</v>
      </c>
      <c r="I102">
        <v>1900</v>
      </c>
      <c r="J102">
        <v>0.4</v>
      </c>
      <c r="K102">
        <f>PRODUCT(TabelaVendas1__2[[#This Row],[Valor_UnitarioXQtd]],TabelaVendas1__2[[#This Row],[Percentual_Lucro]])</f>
        <v>760</v>
      </c>
      <c r="L102">
        <v>1900</v>
      </c>
      <c r="M102">
        <f>PRODUCT(TabelaVendas1__2[[#This Row],[Quantidade]],TabelaVendas1__2[[#This Row],[Valor_Unitario]])</f>
        <v>1900</v>
      </c>
      <c r="N102">
        <f>SUM(TabelaVendas1__2[[#This Row],[Valor_UnitarioXQtd]],TabelaVendas1__2[[#This Row],[Valor_Lucro]])</f>
        <v>2660</v>
      </c>
      <c r="O102" s="2" t="s">
        <v>55</v>
      </c>
    </row>
    <row r="103" spans="1:15">
      <c r="A103" t="s">
        <v>36</v>
      </c>
      <c r="B103" t="s">
        <v>22</v>
      </c>
      <c r="C103" t="s">
        <v>23</v>
      </c>
      <c r="D103" t="s">
        <v>37</v>
      </c>
      <c r="E103" s="1">
        <v>42682</v>
      </c>
      <c r="F103" t="s">
        <v>27</v>
      </c>
      <c r="G103" t="str">
        <f ca="1">VLOOKUP(RAND(),{0,"Lucas";0.39,"Roberto";0.63,"Carla";0.78,"Pedro";0.93,"Emilly"},2,TRUE)</f>
        <v>Pedro</v>
      </c>
      <c r="H103">
        <v>2</v>
      </c>
      <c r="I103">
        <v>103</v>
      </c>
      <c r="J103">
        <v>0.4</v>
      </c>
      <c r="K103">
        <f>PRODUCT(TabelaVendas1__2[[#This Row],[Valor_UnitarioXQtd]],TabelaVendas1__2[[#This Row],[Percentual_Lucro]])</f>
        <v>82.4</v>
      </c>
      <c r="L103">
        <v>103</v>
      </c>
      <c r="M103">
        <f>PRODUCT(TabelaVendas1__2[[#This Row],[Quantidade]],TabelaVendas1__2[[#This Row],[Valor_Unitario]])</f>
        <v>206</v>
      </c>
      <c r="N103">
        <f>SUM(TabelaVendas1__2[[#This Row],[Valor_UnitarioXQtd]],TabelaVendas1__2[[#This Row],[Valor_Lucro]])</f>
        <v>288.39999999999998</v>
      </c>
      <c r="O103" s="2" t="s">
        <v>38</v>
      </c>
    </row>
    <row r="104" spans="1:15">
      <c r="A104" t="s">
        <v>100</v>
      </c>
      <c r="B104" t="s">
        <v>22</v>
      </c>
      <c r="C104" t="s">
        <v>23</v>
      </c>
      <c r="D104" t="s">
        <v>29</v>
      </c>
      <c r="E104" s="1">
        <v>42682</v>
      </c>
      <c r="F104" t="s">
        <v>19</v>
      </c>
      <c r="G104" t="str">
        <f ca="1">VLOOKUP(RAND(),{0,"Lucas";0.39,"Roberto";0.63,"Carla";0.78,"Pedro";0.93,"Emilly"},2,TRUE)</f>
        <v>Lucas</v>
      </c>
      <c r="H104">
        <v>3</v>
      </c>
      <c r="I104">
        <v>48</v>
      </c>
      <c r="J104">
        <v>0.4</v>
      </c>
      <c r="K104">
        <f>PRODUCT(TabelaVendas1__2[[#This Row],[Valor_UnitarioXQtd]],TabelaVendas1__2[[#This Row],[Percentual_Lucro]])</f>
        <v>57.6</v>
      </c>
      <c r="L104">
        <v>48</v>
      </c>
      <c r="M104">
        <f>PRODUCT(TabelaVendas1__2[[#This Row],[Quantidade]],TabelaVendas1__2[[#This Row],[Valor_Unitario]])</f>
        <v>144</v>
      </c>
      <c r="N104">
        <f>SUM(TabelaVendas1__2[[#This Row],[Valor_UnitarioXQtd]],TabelaVendas1__2[[#This Row],[Valor_Lucro]])</f>
        <v>201.6</v>
      </c>
      <c r="O104" s="2" t="s">
        <v>31</v>
      </c>
    </row>
    <row r="105" spans="1:15">
      <c r="A105" t="s">
        <v>70</v>
      </c>
      <c r="B105" t="s">
        <v>22</v>
      </c>
      <c r="C105" t="s">
        <v>23</v>
      </c>
      <c r="D105" t="s">
        <v>34</v>
      </c>
      <c r="E105" s="1">
        <v>42682</v>
      </c>
      <c r="F105" t="s">
        <v>30</v>
      </c>
      <c r="G105" t="str">
        <f ca="1">VLOOKUP(RAND(),{0,"Lucas";0.39,"Roberto";0.63,"Carla";0.78,"Pedro";0.93,"Emilly"},2,TRUE)</f>
        <v>Pedro</v>
      </c>
      <c r="H105">
        <v>1</v>
      </c>
      <c r="I105">
        <v>56.51</v>
      </c>
      <c r="J105">
        <v>0.4</v>
      </c>
      <c r="K105">
        <f>PRODUCT(TabelaVendas1__2[[#This Row],[Valor_UnitarioXQtd]],TabelaVendas1__2[[#This Row],[Percentual_Lucro]])</f>
        <v>22.603999999999999</v>
      </c>
      <c r="L105">
        <v>56.51</v>
      </c>
      <c r="M105">
        <f>PRODUCT(TabelaVendas1__2[[#This Row],[Quantidade]],TabelaVendas1__2[[#This Row],[Valor_Unitario]])</f>
        <v>56.51</v>
      </c>
      <c r="N105">
        <f>SUM(TabelaVendas1__2[[#This Row],[Valor_UnitarioXQtd]],TabelaVendas1__2[[#This Row],[Valor_Lucro]])</f>
        <v>79.114000000000004</v>
      </c>
      <c r="O105" s="2" t="s">
        <v>35</v>
      </c>
    </row>
    <row r="106" spans="1:15">
      <c r="A106" t="s">
        <v>81</v>
      </c>
      <c r="B106" t="s">
        <v>22</v>
      </c>
      <c r="C106" t="s">
        <v>23</v>
      </c>
      <c r="D106" t="s">
        <v>75</v>
      </c>
      <c r="E106" s="1">
        <v>42682</v>
      </c>
      <c r="F106" t="s">
        <v>19</v>
      </c>
      <c r="G106" t="str">
        <f ca="1">VLOOKUP(RAND(),{0,"Lucas";0.39,"Roberto";0.63,"Carla";0.78,"Pedro";0.93,"Emilly"},2,TRUE)</f>
        <v>Emilly</v>
      </c>
      <c r="H106">
        <v>2</v>
      </c>
      <c r="I106">
        <v>1700</v>
      </c>
      <c r="J106">
        <v>0.4</v>
      </c>
      <c r="K106">
        <f>PRODUCT(TabelaVendas1__2[[#This Row],[Valor_UnitarioXQtd]],TabelaVendas1__2[[#This Row],[Percentual_Lucro]])</f>
        <v>1360</v>
      </c>
      <c r="L106">
        <v>3400</v>
      </c>
      <c r="M106">
        <f>PRODUCT(TabelaVendas1__2[[#This Row],[Quantidade]],TabelaVendas1__2[[#This Row],[Valor_Unitario]])</f>
        <v>3400</v>
      </c>
      <c r="N106">
        <f>SUM(TabelaVendas1__2[[#This Row],[Valor_UnitarioXQtd]],TabelaVendas1__2[[#This Row],[Valor_Lucro]])</f>
        <v>4760</v>
      </c>
      <c r="O106" s="2" t="s">
        <v>76</v>
      </c>
    </row>
    <row r="107" spans="1:15">
      <c r="A107" t="s">
        <v>106</v>
      </c>
      <c r="B107" t="s">
        <v>22</v>
      </c>
      <c r="C107" t="s">
        <v>23</v>
      </c>
      <c r="D107" t="s">
        <v>24</v>
      </c>
      <c r="E107" s="1">
        <v>42682</v>
      </c>
      <c r="F107" t="s">
        <v>27</v>
      </c>
      <c r="G107" t="str">
        <f ca="1">VLOOKUP(RAND(),{0,"Lucas";0.39,"Roberto";0.63,"Carla";0.78,"Pedro";0.93,"Emilly"},2,TRUE)</f>
        <v>Roberto</v>
      </c>
      <c r="H107">
        <v>1</v>
      </c>
      <c r="I107">
        <v>4900</v>
      </c>
      <c r="J107">
        <v>0.4</v>
      </c>
      <c r="K107">
        <f>PRODUCT(TabelaVendas1__2[[#This Row],[Valor_UnitarioXQtd]],TabelaVendas1__2[[#This Row],[Percentual_Lucro]])</f>
        <v>1960</v>
      </c>
      <c r="L107">
        <v>4900</v>
      </c>
      <c r="M107">
        <f>PRODUCT(TabelaVendas1__2[[#This Row],[Quantidade]],TabelaVendas1__2[[#This Row],[Valor_Unitario]])</f>
        <v>4900</v>
      </c>
      <c r="N107">
        <f>SUM(TabelaVendas1__2[[#This Row],[Valor_UnitarioXQtd]],TabelaVendas1__2[[#This Row],[Valor_Lucro]])</f>
        <v>6860</v>
      </c>
      <c r="O107" s="2" t="s">
        <v>25</v>
      </c>
    </row>
    <row r="108" spans="1:15">
      <c r="A108" t="s">
        <v>65</v>
      </c>
      <c r="B108" t="s">
        <v>22</v>
      </c>
      <c r="C108" t="s">
        <v>23</v>
      </c>
      <c r="D108" t="s">
        <v>54</v>
      </c>
      <c r="E108" s="1">
        <v>42682</v>
      </c>
      <c r="F108" t="s">
        <v>27</v>
      </c>
      <c r="G108" t="str">
        <f ca="1">VLOOKUP(RAND(),{0,"Lucas";0.39,"Roberto";0.63,"Carla";0.78,"Pedro";0.93,"Emilly"},2,TRUE)</f>
        <v>Carla</v>
      </c>
      <c r="H108">
        <v>1</v>
      </c>
      <c r="I108">
        <v>1700</v>
      </c>
      <c r="J108">
        <v>0.4</v>
      </c>
      <c r="K108">
        <f>PRODUCT(TabelaVendas1__2[[#This Row],[Valor_UnitarioXQtd]],TabelaVendas1__2[[#This Row],[Percentual_Lucro]])</f>
        <v>680</v>
      </c>
      <c r="L108">
        <v>1700</v>
      </c>
      <c r="M108">
        <f>PRODUCT(TabelaVendas1__2[[#This Row],[Quantidade]],TabelaVendas1__2[[#This Row],[Valor_Unitario]])</f>
        <v>1700</v>
      </c>
      <c r="N108">
        <f>SUM(TabelaVendas1__2[[#This Row],[Valor_UnitarioXQtd]],TabelaVendas1__2[[#This Row],[Valor_Lucro]])</f>
        <v>2380</v>
      </c>
      <c r="O108" s="2" t="s">
        <v>55</v>
      </c>
    </row>
    <row r="109" spans="1:15">
      <c r="A109" t="s">
        <v>100</v>
      </c>
      <c r="B109" t="s">
        <v>22</v>
      </c>
      <c r="C109" t="s">
        <v>23</v>
      </c>
      <c r="D109" t="s">
        <v>29</v>
      </c>
      <c r="E109" s="1">
        <v>42752</v>
      </c>
      <c r="F109" t="s">
        <v>19</v>
      </c>
      <c r="G109" t="str">
        <f ca="1">VLOOKUP(RAND(),{0,"Lucas";0.39,"Roberto";0.63,"Carla";0.78,"Pedro";0.93,"Emilly"},2,TRUE)</f>
        <v>Lucas</v>
      </c>
      <c r="H109">
        <v>1</v>
      </c>
      <c r="I109">
        <v>172</v>
      </c>
      <c r="J109">
        <v>0.4</v>
      </c>
      <c r="K109">
        <f>PRODUCT(TabelaVendas1__2[[#This Row],[Valor_UnitarioXQtd]],TabelaVendas1__2[[#This Row],[Percentual_Lucro]])</f>
        <v>68.8</v>
      </c>
      <c r="L109">
        <v>172</v>
      </c>
      <c r="M109">
        <f>PRODUCT(TabelaVendas1__2[[#This Row],[Quantidade]],TabelaVendas1__2[[#This Row],[Valor_Unitario]])</f>
        <v>172</v>
      </c>
      <c r="N109">
        <f>SUM(TabelaVendas1__2[[#This Row],[Valor_UnitarioXQtd]],TabelaVendas1__2[[#This Row],[Valor_Lucro]])</f>
        <v>240.8</v>
      </c>
      <c r="O109" s="2" t="s">
        <v>31</v>
      </c>
    </row>
    <row r="110" spans="1:15">
      <c r="A110" t="s">
        <v>100</v>
      </c>
      <c r="B110" t="s">
        <v>22</v>
      </c>
      <c r="C110" t="s">
        <v>23</v>
      </c>
      <c r="D110" t="s">
        <v>29</v>
      </c>
      <c r="E110" s="1">
        <v>42752</v>
      </c>
      <c r="F110" t="s">
        <v>30</v>
      </c>
      <c r="G110" t="str">
        <f ca="1">VLOOKUP(RAND(),{0,"Lucas";0.39,"Roberto";0.63,"Carla";0.78,"Pedro";0.93,"Emilly"},2,TRUE)</f>
        <v>Roberto</v>
      </c>
      <c r="H110">
        <v>1</v>
      </c>
      <c r="I110">
        <v>420</v>
      </c>
      <c r="J110">
        <v>0.4</v>
      </c>
      <c r="K110">
        <f>PRODUCT(TabelaVendas1__2[[#This Row],[Valor_UnitarioXQtd]],TabelaVendas1__2[[#This Row],[Percentual_Lucro]])</f>
        <v>168</v>
      </c>
      <c r="L110">
        <v>420</v>
      </c>
      <c r="M110">
        <f>PRODUCT(TabelaVendas1__2[[#This Row],[Quantidade]],TabelaVendas1__2[[#This Row],[Valor_Unitario]])</f>
        <v>420</v>
      </c>
      <c r="N110">
        <f>SUM(TabelaVendas1__2[[#This Row],[Valor_UnitarioXQtd]],TabelaVendas1__2[[#This Row],[Valor_Lucro]])</f>
        <v>588</v>
      </c>
      <c r="O110" s="2" t="s">
        <v>31</v>
      </c>
    </row>
    <row r="111" spans="1:15">
      <c r="A111" t="s">
        <v>107</v>
      </c>
      <c r="B111" t="s">
        <v>22</v>
      </c>
      <c r="C111" t="s">
        <v>33</v>
      </c>
      <c r="D111" t="s">
        <v>75</v>
      </c>
      <c r="E111" s="1">
        <v>42752</v>
      </c>
      <c r="F111" t="s">
        <v>27</v>
      </c>
      <c r="G111" t="str">
        <f ca="1">VLOOKUP(RAND(),{0,"Lucas";0.39,"Roberto";0.63,"Carla";0.78,"Pedro";0.93,"Emilly"},2,TRUE)</f>
        <v>Roberto</v>
      </c>
      <c r="H111">
        <v>2</v>
      </c>
      <c r="I111">
        <v>890</v>
      </c>
      <c r="J111">
        <v>0.4</v>
      </c>
      <c r="K111">
        <f>PRODUCT(TabelaVendas1__2[[#This Row],[Valor_UnitarioXQtd]],TabelaVendas1__2[[#This Row],[Percentual_Lucro]])</f>
        <v>712</v>
      </c>
      <c r="L111">
        <v>1780</v>
      </c>
      <c r="M111">
        <f>PRODUCT(TabelaVendas1__2[[#This Row],[Quantidade]],TabelaVendas1__2[[#This Row],[Valor_Unitario]])</f>
        <v>1780</v>
      </c>
      <c r="N111">
        <f>SUM(TabelaVendas1__2[[#This Row],[Valor_UnitarioXQtd]],TabelaVendas1__2[[#This Row],[Valor_Lucro]])</f>
        <v>2492</v>
      </c>
      <c r="O111" s="2" t="s">
        <v>76</v>
      </c>
    </row>
    <row r="112" spans="1:15">
      <c r="A112" t="s">
        <v>108</v>
      </c>
      <c r="B112" t="s">
        <v>22</v>
      </c>
      <c r="C112" t="s">
        <v>23</v>
      </c>
      <c r="D112" t="s">
        <v>42</v>
      </c>
      <c r="E112" s="1">
        <v>42752</v>
      </c>
      <c r="F112" t="s">
        <v>30</v>
      </c>
      <c r="G112" t="str">
        <f ca="1">VLOOKUP(RAND(),{0,"Lucas";0.39,"Roberto";0.63,"Carla";0.78,"Pedro";0.93,"Emilly"},2,TRUE)</f>
        <v>Pedro</v>
      </c>
      <c r="H112">
        <v>1</v>
      </c>
      <c r="I112">
        <v>550</v>
      </c>
      <c r="J112">
        <v>0.4</v>
      </c>
      <c r="K112">
        <f>PRODUCT(TabelaVendas1__2[[#This Row],[Valor_UnitarioXQtd]],TabelaVendas1__2[[#This Row],[Percentual_Lucro]])</f>
        <v>220</v>
      </c>
      <c r="L112">
        <v>550</v>
      </c>
      <c r="M112">
        <f>PRODUCT(TabelaVendas1__2[[#This Row],[Quantidade]],TabelaVendas1__2[[#This Row],[Valor_Unitario]])</f>
        <v>550</v>
      </c>
      <c r="N112">
        <f>SUM(TabelaVendas1__2[[#This Row],[Valor_UnitarioXQtd]],TabelaVendas1__2[[#This Row],[Valor_Lucro]])</f>
        <v>770</v>
      </c>
      <c r="O112" s="2" t="s">
        <v>43</v>
      </c>
    </row>
    <row r="113" spans="1:15">
      <c r="A113" t="s">
        <v>109</v>
      </c>
      <c r="B113" t="s">
        <v>22</v>
      </c>
      <c r="C113" t="s">
        <v>23</v>
      </c>
      <c r="D113" t="s">
        <v>42</v>
      </c>
      <c r="E113" s="1">
        <v>42752</v>
      </c>
      <c r="F113" t="s">
        <v>30</v>
      </c>
      <c r="G113" t="str">
        <f ca="1">VLOOKUP(RAND(),{0,"Lucas";0.39,"Roberto";0.63,"Carla";0.78,"Pedro";0.93,"Emilly"},2,TRUE)</f>
        <v>Lucas</v>
      </c>
      <c r="H113">
        <v>1</v>
      </c>
      <c r="I113">
        <v>500</v>
      </c>
      <c r="J113">
        <v>0.4</v>
      </c>
      <c r="K113">
        <f>PRODUCT(TabelaVendas1__2[[#This Row],[Valor_UnitarioXQtd]],TabelaVendas1__2[[#This Row],[Percentual_Lucro]])</f>
        <v>200</v>
      </c>
      <c r="L113">
        <v>500</v>
      </c>
      <c r="M113">
        <f>PRODUCT(TabelaVendas1__2[[#This Row],[Quantidade]],TabelaVendas1__2[[#This Row],[Valor_Unitario]])</f>
        <v>500</v>
      </c>
      <c r="N113">
        <f>SUM(TabelaVendas1__2[[#This Row],[Valor_UnitarioXQtd]],TabelaVendas1__2[[#This Row],[Valor_Lucro]])</f>
        <v>700</v>
      </c>
      <c r="O113" s="2" t="s">
        <v>43</v>
      </c>
    </row>
    <row r="114" spans="1:15">
      <c r="A114" t="s">
        <v>110</v>
      </c>
      <c r="B114" t="s">
        <v>22</v>
      </c>
      <c r="C114" t="s">
        <v>33</v>
      </c>
      <c r="D114" t="s">
        <v>24</v>
      </c>
      <c r="E114" s="1">
        <v>42752</v>
      </c>
      <c r="F114" t="s">
        <v>19</v>
      </c>
      <c r="G114" t="str">
        <f ca="1">VLOOKUP(RAND(),{0,"Lucas";0.39,"Roberto";0.63,"Carla";0.78,"Pedro";0.93,"Emilly"},2,TRUE)</f>
        <v>Carla</v>
      </c>
      <c r="H114">
        <v>1</v>
      </c>
      <c r="I114">
        <v>1700</v>
      </c>
      <c r="J114">
        <v>0.4</v>
      </c>
      <c r="K114">
        <f>PRODUCT(TabelaVendas1__2[[#This Row],[Valor_UnitarioXQtd]],TabelaVendas1__2[[#This Row],[Percentual_Lucro]])</f>
        <v>680</v>
      </c>
      <c r="L114">
        <v>1700</v>
      </c>
      <c r="M114">
        <f>PRODUCT(TabelaVendas1__2[[#This Row],[Quantidade]],TabelaVendas1__2[[#This Row],[Valor_Unitario]])</f>
        <v>1700</v>
      </c>
      <c r="N114">
        <f>SUM(TabelaVendas1__2[[#This Row],[Valor_UnitarioXQtd]],TabelaVendas1__2[[#This Row],[Valor_Lucro]])</f>
        <v>2380</v>
      </c>
      <c r="O114" s="2" t="s">
        <v>25</v>
      </c>
    </row>
    <row r="115" spans="1:15">
      <c r="A115" t="s">
        <v>111</v>
      </c>
      <c r="B115" t="s">
        <v>22</v>
      </c>
      <c r="C115" t="s">
        <v>33</v>
      </c>
      <c r="D115" t="s">
        <v>18</v>
      </c>
      <c r="E115" s="1">
        <v>42752</v>
      </c>
      <c r="F115" t="s">
        <v>19</v>
      </c>
      <c r="G115" t="str">
        <f ca="1">VLOOKUP(RAND(),{0,"Lucas";0.39,"Roberto";0.63,"Carla";0.78,"Pedro";0.93,"Emilly"},2,TRUE)</f>
        <v>Carla</v>
      </c>
      <c r="H115">
        <v>1</v>
      </c>
      <c r="I115">
        <v>1000</v>
      </c>
      <c r="J115">
        <v>0.4</v>
      </c>
      <c r="K115">
        <f>PRODUCT(TabelaVendas1__2[[#This Row],[Valor_UnitarioXQtd]],TabelaVendas1__2[[#This Row],[Percentual_Lucro]])</f>
        <v>400</v>
      </c>
      <c r="L115">
        <v>1000</v>
      </c>
      <c r="M115">
        <f>PRODUCT(TabelaVendas1__2[[#This Row],[Quantidade]],TabelaVendas1__2[[#This Row],[Valor_Unitario]])</f>
        <v>1000</v>
      </c>
      <c r="N115">
        <f>SUM(TabelaVendas1__2[[#This Row],[Valor_UnitarioXQtd]],TabelaVendas1__2[[#This Row],[Valor_Lucro]])</f>
        <v>1400</v>
      </c>
      <c r="O115" s="2" t="s">
        <v>20</v>
      </c>
    </row>
    <row r="116" spans="1:15">
      <c r="A116" t="s">
        <v>112</v>
      </c>
      <c r="B116" t="s">
        <v>16</v>
      </c>
      <c r="C116" t="s">
        <v>17</v>
      </c>
      <c r="D116" t="s">
        <v>18</v>
      </c>
      <c r="E116" s="1">
        <v>42752</v>
      </c>
      <c r="F116" t="s">
        <v>30</v>
      </c>
      <c r="G116" t="str">
        <f ca="1">VLOOKUP(RAND(),{0,"Lucas";0.39,"Roberto";0.63,"Carla";0.78,"Pedro";0.93,"Emilly"},2,TRUE)</f>
        <v>Roberto</v>
      </c>
      <c r="H116">
        <v>1</v>
      </c>
      <c r="I116">
        <v>1200</v>
      </c>
      <c r="J116">
        <v>0.4</v>
      </c>
      <c r="K116">
        <f>PRODUCT(TabelaVendas1__2[[#This Row],[Valor_UnitarioXQtd]],TabelaVendas1__2[[#This Row],[Percentual_Lucro]])</f>
        <v>480</v>
      </c>
      <c r="L116">
        <v>1200</v>
      </c>
      <c r="M116">
        <f>PRODUCT(TabelaVendas1__2[[#This Row],[Quantidade]],TabelaVendas1__2[[#This Row],[Valor_Unitario]])</f>
        <v>1200</v>
      </c>
      <c r="N116">
        <f>SUM(TabelaVendas1__2[[#This Row],[Valor_UnitarioXQtd]],TabelaVendas1__2[[#This Row],[Valor_Lucro]])</f>
        <v>1680</v>
      </c>
      <c r="O116" s="2" t="s">
        <v>20</v>
      </c>
    </row>
    <row r="117" spans="1:15">
      <c r="A117" t="s">
        <v>67</v>
      </c>
      <c r="B117" t="s">
        <v>22</v>
      </c>
      <c r="C117" t="s">
        <v>23</v>
      </c>
      <c r="D117" t="s">
        <v>18</v>
      </c>
      <c r="E117" s="1">
        <v>42752</v>
      </c>
      <c r="F117" t="s">
        <v>19</v>
      </c>
      <c r="G117" t="str">
        <f ca="1">VLOOKUP(RAND(),{0,"Lucas";0.39,"Roberto";0.63,"Carla";0.78,"Pedro";0.93,"Emilly"},2,TRUE)</f>
        <v>Roberto</v>
      </c>
      <c r="H117">
        <v>1</v>
      </c>
      <c r="I117">
        <v>1850</v>
      </c>
      <c r="J117">
        <v>0.4</v>
      </c>
      <c r="K117">
        <f>PRODUCT(TabelaVendas1__2[[#This Row],[Valor_UnitarioXQtd]],TabelaVendas1__2[[#This Row],[Percentual_Lucro]])</f>
        <v>740</v>
      </c>
      <c r="L117">
        <v>1850</v>
      </c>
      <c r="M117">
        <f>PRODUCT(TabelaVendas1__2[[#This Row],[Quantidade]],TabelaVendas1__2[[#This Row],[Valor_Unitario]])</f>
        <v>1850</v>
      </c>
      <c r="N117">
        <f>SUM(TabelaVendas1__2[[#This Row],[Valor_UnitarioXQtd]],TabelaVendas1__2[[#This Row],[Valor_Lucro]])</f>
        <v>2590</v>
      </c>
      <c r="O117" s="2" t="s">
        <v>20</v>
      </c>
    </row>
    <row r="118" spans="1:15">
      <c r="A118" t="s">
        <v>113</v>
      </c>
      <c r="B118" t="s">
        <v>22</v>
      </c>
      <c r="C118" t="s">
        <v>23</v>
      </c>
      <c r="D118" t="s">
        <v>18</v>
      </c>
      <c r="E118" s="1">
        <v>42752</v>
      </c>
      <c r="F118" t="s">
        <v>30</v>
      </c>
      <c r="G118" t="str">
        <f ca="1">VLOOKUP(RAND(),{0,"Lucas";0.39,"Roberto";0.63,"Carla";0.78,"Pedro";0.93,"Emilly"},2,TRUE)</f>
        <v>Pedro</v>
      </c>
      <c r="H118">
        <v>1</v>
      </c>
      <c r="I118">
        <v>1800</v>
      </c>
      <c r="J118">
        <v>0.4</v>
      </c>
      <c r="K118">
        <f>PRODUCT(TabelaVendas1__2[[#This Row],[Valor_UnitarioXQtd]],TabelaVendas1__2[[#This Row],[Percentual_Lucro]])</f>
        <v>720</v>
      </c>
      <c r="L118">
        <v>1800</v>
      </c>
      <c r="M118">
        <f>PRODUCT(TabelaVendas1__2[[#This Row],[Quantidade]],TabelaVendas1__2[[#This Row],[Valor_Unitario]])</f>
        <v>1800</v>
      </c>
      <c r="N118">
        <f>SUM(TabelaVendas1__2[[#This Row],[Valor_UnitarioXQtd]],TabelaVendas1__2[[#This Row],[Valor_Lucro]])</f>
        <v>2520</v>
      </c>
      <c r="O118" s="2" t="s">
        <v>20</v>
      </c>
    </row>
    <row r="119" spans="1:15">
      <c r="A119" t="s">
        <v>90</v>
      </c>
      <c r="B119" t="s">
        <v>22</v>
      </c>
      <c r="C119" t="s">
        <v>23</v>
      </c>
      <c r="D119" t="s">
        <v>54</v>
      </c>
      <c r="E119" s="1">
        <v>42752</v>
      </c>
      <c r="F119" t="s">
        <v>27</v>
      </c>
      <c r="G119" t="str">
        <f ca="1">VLOOKUP(RAND(),{0,"Lucas";0.39,"Roberto";0.63,"Carla";0.78,"Pedro";0.93,"Emilly"},2,TRUE)</f>
        <v>Lucas</v>
      </c>
      <c r="H119">
        <v>1</v>
      </c>
      <c r="I119">
        <v>550</v>
      </c>
      <c r="J119">
        <v>0.4</v>
      </c>
      <c r="K119">
        <f>PRODUCT(TabelaVendas1__2[[#This Row],[Valor_UnitarioXQtd]],TabelaVendas1__2[[#This Row],[Percentual_Lucro]])</f>
        <v>220</v>
      </c>
      <c r="L119">
        <v>550</v>
      </c>
      <c r="M119">
        <f>PRODUCT(TabelaVendas1__2[[#This Row],[Quantidade]],TabelaVendas1__2[[#This Row],[Valor_Unitario]])</f>
        <v>550</v>
      </c>
      <c r="N119">
        <f>SUM(TabelaVendas1__2[[#This Row],[Valor_UnitarioXQtd]],TabelaVendas1__2[[#This Row],[Valor_Lucro]])</f>
        <v>770</v>
      </c>
      <c r="O119" s="2" t="s">
        <v>55</v>
      </c>
    </row>
    <row r="120" spans="1:15">
      <c r="A120" t="s">
        <v>114</v>
      </c>
      <c r="B120" t="s">
        <v>22</v>
      </c>
      <c r="C120" t="s">
        <v>23</v>
      </c>
      <c r="D120" t="s">
        <v>29</v>
      </c>
      <c r="E120" s="1">
        <v>42752</v>
      </c>
      <c r="F120" t="s">
        <v>19</v>
      </c>
      <c r="G120" t="str">
        <f ca="1">VLOOKUP(RAND(),{0,"Lucas";0.39,"Roberto";0.63,"Carla";0.78,"Pedro";0.93,"Emilly"},2,TRUE)</f>
        <v>Lucas</v>
      </c>
      <c r="H120">
        <v>1</v>
      </c>
      <c r="I120">
        <v>550</v>
      </c>
      <c r="J120">
        <v>0.4</v>
      </c>
      <c r="K120">
        <f>PRODUCT(TabelaVendas1__2[[#This Row],[Valor_UnitarioXQtd]],TabelaVendas1__2[[#This Row],[Percentual_Lucro]])</f>
        <v>220</v>
      </c>
      <c r="L120">
        <v>550</v>
      </c>
      <c r="M120">
        <f>PRODUCT(TabelaVendas1__2[[#This Row],[Quantidade]],TabelaVendas1__2[[#This Row],[Valor_Unitario]])</f>
        <v>550</v>
      </c>
      <c r="N120">
        <f>SUM(TabelaVendas1__2[[#This Row],[Valor_UnitarioXQtd]],TabelaVendas1__2[[#This Row],[Valor_Lucro]])</f>
        <v>770</v>
      </c>
      <c r="O120" s="2" t="s">
        <v>31</v>
      </c>
    </row>
    <row r="121" spans="1:15">
      <c r="A121" t="s">
        <v>115</v>
      </c>
      <c r="B121" t="s">
        <v>22</v>
      </c>
      <c r="C121" t="s">
        <v>23</v>
      </c>
      <c r="D121" t="s">
        <v>29</v>
      </c>
      <c r="E121" s="1">
        <v>42752</v>
      </c>
      <c r="F121" t="s">
        <v>30</v>
      </c>
      <c r="G121" t="str">
        <f ca="1">VLOOKUP(RAND(),{0,"Lucas";0.39,"Roberto";0.63,"Carla";0.78,"Pedro";0.93,"Emilly"},2,TRUE)</f>
        <v>Lucas</v>
      </c>
      <c r="H121">
        <v>1</v>
      </c>
      <c r="I121">
        <v>1050</v>
      </c>
      <c r="J121">
        <v>0.4</v>
      </c>
      <c r="K121">
        <f>PRODUCT(TabelaVendas1__2[[#This Row],[Valor_UnitarioXQtd]],TabelaVendas1__2[[#This Row],[Percentual_Lucro]])</f>
        <v>420</v>
      </c>
      <c r="L121">
        <v>1050</v>
      </c>
      <c r="M121">
        <f>PRODUCT(TabelaVendas1__2[[#This Row],[Quantidade]],TabelaVendas1__2[[#This Row],[Valor_Unitario]])</f>
        <v>1050</v>
      </c>
      <c r="N121">
        <f>SUM(TabelaVendas1__2[[#This Row],[Valor_UnitarioXQtd]],TabelaVendas1__2[[#This Row],[Valor_Lucro]])</f>
        <v>1470</v>
      </c>
      <c r="O121" s="2" t="s">
        <v>31</v>
      </c>
    </row>
    <row r="122" spans="1:15">
      <c r="A122" t="s">
        <v>116</v>
      </c>
      <c r="B122" t="s">
        <v>51</v>
      </c>
      <c r="C122" t="s">
        <v>17</v>
      </c>
      <c r="D122" t="s">
        <v>34</v>
      </c>
      <c r="E122" s="1">
        <v>42752</v>
      </c>
      <c r="F122" t="s">
        <v>27</v>
      </c>
      <c r="G122" t="str">
        <f ca="1">VLOOKUP(RAND(),{0,"Lucas";0.39,"Roberto";0.63,"Carla";0.78,"Pedro";0.93,"Emilly"},2,TRUE)</f>
        <v>Pedro</v>
      </c>
      <c r="H122">
        <v>1</v>
      </c>
      <c r="I122">
        <v>1000</v>
      </c>
      <c r="J122">
        <v>0.4</v>
      </c>
      <c r="K122">
        <f>PRODUCT(TabelaVendas1__2[[#This Row],[Valor_UnitarioXQtd]],TabelaVendas1__2[[#This Row],[Percentual_Lucro]])</f>
        <v>400</v>
      </c>
      <c r="L122">
        <v>1000</v>
      </c>
      <c r="M122">
        <f>PRODUCT(TabelaVendas1__2[[#This Row],[Quantidade]],TabelaVendas1__2[[#This Row],[Valor_Unitario]])</f>
        <v>1000</v>
      </c>
      <c r="N122">
        <f>SUM(TabelaVendas1__2[[#This Row],[Valor_UnitarioXQtd]],TabelaVendas1__2[[#This Row],[Valor_Lucro]])</f>
        <v>1400</v>
      </c>
      <c r="O122" s="2" t="s">
        <v>35</v>
      </c>
    </row>
    <row r="123" spans="1:15">
      <c r="A123" t="s">
        <v>84</v>
      </c>
      <c r="B123" t="s">
        <v>51</v>
      </c>
      <c r="C123" t="s">
        <v>17</v>
      </c>
      <c r="D123" t="s">
        <v>37</v>
      </c>
      <c r="E123" s="1">
        <v>42752</v>
      </c>
      <c r="F123" t="s">
        <v>27</v>
      </c>
      <c r="G123" t="str">
        <f ca="1">VLOOKUP(RAND(),{0,"Lucas";0.39,"Roberto";0.63,"Carla";0.78,"Pedro";0.93,"Emilly"},2,TRUE)</f>
        <v>Lucas</v>
      </c>
      <c r="H123">
        <v>1</v>
      </c>
      <c r="I123">
        <v>300</v>
      </c>
      <c r="J123">
        <v>0.4</v>
      </c>
      <c r="K123">
        <f>PRODUCT(TabelaVendas1__2[[#This Row],[Valor_UnitarioXQtd]],TabelaVendas1__2[[#This Row],[Percentual_Lucro]])</f>
        <v>120</v>
      </c>
      <c r="L123">
        <v>300</v>
      </c>
      <c r="M123">
        <f>PRODUCT(TabelaVendas1__2[[#This Row],[Quantidade]],TabelaVendas1__2[[#This Row],[Valor_Unitario]])</f>
        <v>300</v>
      </c>
      <c r="N123">
        <f>SUM(TabelaVendas1__2[[#This Row],[Valor_UnitarioXQtd]],TabelaVendas1__2[[#This Row],[Valor_Lucro]])</f>
        <v>420</v>
      </c>
      <c r="O123" s="2" t="s">
        <v>38</v>
      </c>
    </row>
    <row r="124" spans="1:15">
      <c r="A124" t="s">
        <v>101</v>
      </c>
      <c r="B124" t="s">
        <v>22</v>
      </c>
      <c r="C124" t="s">
        <v>23</v>
      </c>
      <c r="D124" t="s">
        <v>34</v>
      </c>
      <c r="E124" s="1">
        <v>42752</v>
      </c>
      <c r="F124" t="s">
        <v>19</v>
      </c>
      <c r="G124" t="str">
        <f ca="1">VLOOKUP(RAND(),{0,"Lucas";0.39,"Roberto";0.63,"Carla";0.78,"Pedro";0.93,"Emilly"},2,TRUE)</f>
        <v>Lucas</v>
      </c>
      <c r="H124">
        <v>1</v>
      </c>
      <c r="I124">
        <v>166.07</v>
      </c>
      <c r="J124">
        <v>0.4</v>
      </c>
      <c r="K124">
        <f>PRODUCT(TabelaVendas1__2[[#This Row],[Valor_UnitarioXQtd]],TabelaVendas1__2[[#This Row],[Percentual_Lucro]])</f>
        <v>66.427999999999997</v>
      </c>
      <c r="L124">
        <v>166.07</v>
      </c>
      <c r="M124">
        <f>PRODUCT(TabelaVendas1__2[[#This Row],[Quantidade]],TabelaVendas1__2[[#This Row],[Valor_Unitario]])</f>
        <v>166.07</v>
      </c>
      <c r="N124">
        <f>SUM(TabelaVendas1__2[[#This Row],[Valor_UnitarioXQtd]],TabelaVendas1__2[[#This Row],[Valor_Lucro]])</f>
        <v>232.49799999999999</v>
      </c>
      <c r="O124" s="2" t="s">
        <v>35</v>
      </c>
    </row>
    <row r="125" spans="1:15">
      <c r="A125" t="s">
        <v>117</v>
      </c>
      <c r="B125" t="s">
        <v>51</v>
      </c>
      <c r="C125" t="s">
        <v>17</v>
      </c>
      <c r="D125" t="s">
        <v>97</v>
      </c>
      <c r="E125" s="1">
        <v>42790</v>
      </c>
      <c r="F125" t="s">
        <v>19</v>
      </c>
      <c r="G125" t="str">
        <f ca="1">VLOOKUP(RAND(),{0,"Lucas";0.39,"Roberto";0.63,"Carla";0.78,"Pedro";0.93,"Emilly"},2,TRUE)</f>
        <v>Lucas</v>
      </c>
      <c r="H125">
        <v>1</v>
      </c>
      <c r="I125">
        <v>850</v>
      </c>
      <c r="J125">
        <v>0.4</v>
      </c>
      <c r="K125">
        <f>PRODUCT(TabelaVendas1__2[[#This Row],[Valor_UnitarioXQtd]],TabelaVendas1__2[[#This Row],[Percentual_Lucro]])</f>
        <v>340</v>
      </c>
      <c r="L125">
        <v>850</v>
      </c>
      <c r="M125">
        <f>PRODUCT(TabelaVendas1__2[[#This Row],[Quantidade]],TabelaVendas1__2[[#This Row],[Valor_Unitario]])</f>
        <v>850</v>
      </c>
      <c r="N125">
        <f>SUM(TabelaVendas1__2[[#This Row],[Valor_UnitarioXQtd]],TabelaVendas1__2[[#This Row],[Valor_Lucro]])</f>
        <v>1190</v>
      </c>
      <c r="O125" s="2" t="s">
        <v>98</v>
      </c>
    </row>
    <row r="126" spans="1:15">
      <c r="A126" t="s">
        <v>113</v>
      </c>
      <c r="B126" t="s">
        <v>22</v>
      </c>
      <c r="C126" t="s">
        <v>23</v>
      </c>
      <c r="D126" t="s">
        <v>18</v>
      </c>
      <c r="E126" s="1">
        <v>42790</v>
      </c>
      <c r="F126" t="s">
        <v>27</v>
      </c>
      <c r="G126" t="str">
        <f ca="1">VLOOKUP(RAND(),{0,"Lucas";0.39,"Roberto";0.63,"Carla";0.78,"Pedro";0.93,"Emilly"},2,TRUE)</f>
        <v>Carla</v>
      </c>
      <c r="H126">
        <v>1</v>
      </c>
      <c r="I126">
        <v>1700</v>
      </c>
      <c r="J126">
        <v>0.4</v>
      </c>
      <c r="K126">
        <f>PRODUCT(TabelaVendas1__2[[#This Row],[Valor_UnitarioXQtd]],TabelaVendas1__2[[#This Row],[Percentual_Lucro]])</f>
        <v>680</v>
      </c>
      <c r="L126">
        <v>1700</v>
      </c>
      <c r="M126">
        <f>PRODUCT(TabelaVendas1__2[[#This Row],[Quantidade]],TabelaVendas1__2[[#This Row],[Valor_Unitario]])</f>
        <v>1700</v>
      </c>
      <c r="N126">
        <f>SUM(TabelaVendas1__2[[#This Row],[Valor_UnitarioXQtd]],TabelaVendas1__2[[#This Row],[Valor_Lucro]])</f>
        <v>2380</v>
      </c>
      <c r="O126" s="2" t="s">
        <v>20</v>
      </c>
    </row>
    <row r="127" spans="1:15">
      <c r="A127" t="s">
        <v>107</v>
      </c>
      <c r="B127" t="s">
        <v>22</v>
      </c>
      <c r="C127" t="s">
        <v>33</v>
      </c>
      <c r="D127" t="s">
        <v>75</v>
      </c>
      <c r="E127" s="1">
        <v>43126</v>
      </c>
      <c r="F127" t="s">
        <v>27</v>
      </c>
      <c r="G127" t="str">
        <f ca="1">VLOOKUP(RAND(),{0,"Lucas";0.39,"Roberto";0.63,"Carla";0.78,"Pedro";0.93,"Emilly"},2,TRUE)</f>
        <v>Carla</v>
      </c>
      <c r="H127">
        <v>1</v>
      </c>
      <c r="I127">
        <v>0.01</v>
      </c>
      <c r="J127">
        <v>0.4</v>
      </c>
      <c r="K127">
        <f>PRODUCT(TabelaVendas1__2[[#This Row],[Valor_UnitarioXQtd]],TabelaVendas1__2[[#This Row],[Percentual_Lucro]])</f>
        <v>4.0000000000000001E-3</v>
      </c>
      <c r="L127">
        <v>0.01</v>
      </c>
      <c r="M127">
        <f>PRODUCT(TabelaVendas1__2[[#This Row],[Quantidade]],TabelaVendas1__2[[#This Row],[Valor_Unitario]])</f>
        <v>0.01</v>
      </c>
      <c r="N127">
        <f>SUM(TabelaVendas1__2[[#This Row],[Valor_UnitarioXQtd]],TabelaVendas1__2[[#This Row],[Valor_Lucro]])</f>
        <v>1.4E-2</v>
      </c>
      <c r="O127" s="2" t="s">
        <v>76</v>
      </c>
    </row>
    <row r="128" spans="1:15">
      <c r="A128" t="s">
        <v>118</v>
      </c>
      <c r="B128" t="s">
        <v>22</v>
      </c>
      <c r="C128" t="s">
        <v>23</v>
      </c>
      <c r="D128" t="s">
        <v>42</v>
      </c>
      <c r="E128" s="1">
        <v>43127</v>
      </c>
      <c r="F128" t="s">
        <v>30</v>
      </c>
      <c r="G128" t="str">
        <f ca="1">VLOOKUP(RAND(),{0,"Lucas";0.39,"Roberto";0.63,"Carla";0.78,"Pedro";0.93,"Emilly"},2,TRUE)</f>
        <v>Lucas</v>
      </c>
      <c r="H128">
        <v>1</v>
      </c>
      <c r="I128">
        <v>800</v>
      </c>
      <c r="J128">
        <v>0.4</v>
      </c>
      <c r="K128">
        <f>PRODUCT(TabelaVendas1__2[[#This Row],[Valor_UnitarioXQtd]],TabelaVendas1__2[[#This Row],[Percentual_Lucro]])</f>
        <v>320</v>
      </c>
      <c r="L128">
        <v>800</v>
      </c>
      <c r="M128">
        <f>PRODUCT(TabelaVendas1__2[[#This Row],[Quantidade]],TabelaVendas1__2[[#This Row],[Valor_Unitario]])</f>
        <v>800</v>
      </c>
      <c r="N128">
        <f>SUM(TabelaVendas1__2[[#This Row],[Valor_UnitarioXQtd]],TabelaVendas1__2[[#This Row],[Valor_Lucro]])</f>
        <v>1120</v>
      </c>
      <c r="O128" s="2" t="s">
        <v>43</v>
      </c>
    </row>
    <row r="129" spans="1:15">
      <c r="A129" t="s">
        <v>119</v>
      </c>
      <c r="B129" t="s">
        <v>22</v>
      </c>
      <c r="C129" t="s">
        <v>33</v>
      </c>
      <c r="D129" t="s">
        <v>42</v>
      </c>
      <c r="E129" s="1">
        <v>43127</v>
      </c>
      <c r="F129" t="s">
        <v>30</v>
      </c>
      <c r="G129" t="str">
        <f ca="1">VLOOKUP(RAND(),{0,"Lucas";0.39,"Roberto";0.63,"Carla";0.78,"Pedro";0.93,"Emilly"},2,TRUE)</f>
        <v>Carla</v>
      </c>
      <c r="H129">
        <v>1</v>
      </c>
      <c r="I129">
        <v>1000</v>
      </c>
      <c r="J129">
        <v>0.4</v>
      </c>
      <c r="K129">
        <f>PRODUCT(TabelaVendas1__2[[#This Row],[Valor_UnitarioXQtd]],TabelaVendas1__2[[#This Row],[Percentual_Lucro]])</f>
        <v>400</v>
      </c>
      <c r="L129">
        <v>1000</v>
      </c>
      <c r="M129">
        <f>PRODUCT(TabelaVendas1__2[[#This Row],[Quantidade]],TabelaVendas1__2[[#This Row],[Valor_Unitario]])</f>
        <v>1000</v>
      </c>
      <c r="N129">
        <f>SUM(TabelaVendas1__2[[#This Row],[Valor_UnitarioXQtd]],TabelaVendas1__2[[#This Row],[Valor_Lucro]])</f>
        <v>1400</v>
      </c>
      <c r="O129" s="2" t="s">
        <v>43</v>
      </c>
    </row>
    <row r="130" spans="1:15">
      <c r="A130" t="s">
        <v>120</v>
      </c>
      <c r="B130" t="s">
        <v>22</v>
      </c>
      <c r="C130" t="s">
        <v>23</v>
      </c>
      <c r="D130" t="s">
        <v>121</v>
      </c>
      <c r="E130" s="1">
        <v>43127</v>
      </c>
      <c r="F130" t="s">
        <v>30</v>
      </c>
      <c r="G130" t="str">
        <f ca="1">VLOOKUP(RAND(),{0,"Lucas";0.39,"Roberto";0.63,"Carla";0.78,"Pedro";0.93,"Emilly"},2,TRUE)</f>
        <v>Lucas</v>
      </c>
      <c r="H130">
        <v>1</v>
      </c>
      <c r="I130">
        <v>850</v>
      </c>
      <c r="J130">
        <v>0.4</v>
      </c>
      <c r="K130">
        <f>PRODUCT(TabelaVendas1__2[[#This Row],[Valor_UnitarioXQtd]],TabelaVendas1__2[[#This Row],[Percentual_Lucro]])</f>
        <v>340</v>
      </c>
      <c r="L130">
        <v>850</v>
      </c>
      <c r="M130">
        <f>PRODUCT(TabelaVendas1__2[[#This Row],[Quantidade]],TabelaVendas1__2[[#This Row],[Valor_Unitario]])</f>
        <v>850</v>
      </c>
      <c r="N130">
        <f>SUM(TabelaVendas1__2[[#This Row],[Valor_UnitarioXQtd]],TabelaVendas1__2[[#This Row],[Valor_Lucro]])</f>
        <v>1190</v>
      </c>
      <c r="O130" s="2" t="s">
        <v>122</v>
      </c>
    </row>
    <row r="131" spans="1:15">
      <c r="A131" t="s">
        <v>123</v>
      </c>
      <c r="B131" t="s">
        <v>51</v>
      </c>
      <c r="C131" t="s">
        <v>17</v>
      </c>
      <c r="D131" t="s">
        <v>97</v>
      </c>
      <c r="E131" s="1">
        <v>43127</v>
      </c>
      <c r="F131" t="s">
        <v>27</v>
      </c>
      <c r="G131" t="str">
        <f ca="1">VLOOKUP(RAND(),{0,"Lucas";0.39,"Roberto";0.63,"Carla";0.78,"Pedro";0.93,"Emilly"},2,TRUE)</f>
        <v>Roberto</v>
      </c>
      <c r="H131">
        <v>1</v>
      </c>
      <c r="I131">
        <v>1100</v>
      </c>
      <c r="J131">
        <v>0.4</v>
      </c>
      <c r="K131">
        <f>PRODUCT(TabelaVendas1__2[[#This Row],[Valor_UnitarioXQtd]],TabelaVendas1__2[[#This Row],[Percentual_Lucro]])</f>
        <v>440</v>
      </c>
      <c r="L131">
        <v>1100</v>
      </c>
      <c r="M131">
        <f>PRODUCT(TabelaVendas1__2[[#This Row],[Quantidade]],TabelaVendas1__2[[#This Row],[Valor_Unitario]])</f>
        <v>1100</v>
      </c>
      <c r="N131">
        <f>SUM(TabelaVendas1__2[[#This Row],[Valor_UnitarioXQtd]],TabelaVendas1__2[[#This Row],[Valor_Lucro]])</f>
        <v>1540</v>
      </c>
      <c r="O131" s="2" t="s">
        <v>98</v>
      </c>
    </row>
    <row r="132" spans="1:15">
      <c r="A132" t="s">
        <v>124</v>
      </c>
      <c r="B132" t="s">
        <v>22</v>
      </c>
      <c r="C132" t="s">
        <v>23</v>
      </c>
      <c r="D132" t="s">
        <v>18</v>
      </c>
      <c r="E132" s="1">
        <v>43127</v>
      </c>
      <c r="F132" t="s">
        <v>27</v>
      </c>
      <c r="G132" t="str">
        <f ca="1">VLOOKUP(RAND(),{0,"Lucas";0.39,"Roberto";0.63,"Carla";0.78,"Pedro";0.93,"Emilly"},2,TRUE)</f>
        <v>Pedro</v>
      </c>
      <c r="H132">
        <v>1</v>
      </c>
      <c r="I132">
        <v>900</v>
      </c>
      <c r="J132">
        <v>0.4</v>
      </c>
      <c r="K132">
        <f>PRODUCT(TabelaVendas1__2[[#This Row],[Valor_UnitarioXQtd]],TabelaVendas1__2[[#This Row],[Percentual_Lucro]])</f>
        <v>360</v>
      </c>
      <c r="L132">
        <v>900</v>
      </c>
      <c r="M132">
        <f>PRODUCT(TabelaVendas1__2[[#This Row],[Quantidade]],TabelaVendas1__2[[#This Row],[Valor_Unitario]])</f>
        <v>900</v>
      </c>
      <c r="N132">
        <f>SUM(TabelaVendas1__2[[#This Row],[Valor_UnitarioXQtd]],TabelaVendas1__2[[#This Row],[Valor_Lucro]])</f>
        <v>1260</v>
      </c>
      <c r="O132" s="2" t="s">
        <v>20</v>
      </c>
    </row>
    <row r="133" spans="1:15">
      <c r="A133" t="s">
        <v>86</v>
      </c>
      <c r="B133" t="s">
        <v>22</v>
      </c>
      <c r="C133" t="s">
        <v>23</v>
      </c>
      <c r="D133" t="s">
        <v>18</v>
      </c>
      <c r="E133" s="1">
        <v>43127</v>
      </c>
      <c r="F133" t="s">
        <v>30</v>
      </c>
      <c r="G133" t="str">
        <f ca="1">VLOOKUP(RAND(),{0,"Lucas";0.39,"Roberto";0.63,"Carla";0.78,"Pedro";0.93,"Emilly"},2,TRUE)</f>
        <v>Carla</v>
      </c>
      <c r="H133">
        <v>1</v>
      </c>
      <c r="I133">
        <v>2200</v>
      </c>
      <c r="J133">
        <v>0.4</v>
      </c>
      <c r="K133">
        <f>PRODUCT(TabelaVendas1__2[[#This Row],[Valor_UnitarioXQtd]],TabelaVendas1__2[[#This Row],[Percentual_Lucro]])</f>
        <v>880</v>
      </c>
      <c r="L133">
        <v>2200</v>
      </c>
      <c r="M133">
        <f>PRODUCT(TabelaVendas1__2[[#This Row],[Quantidade]],TabelaVendas1__2[[#This Row],[Valor_Unitario]])</f>
        <v>2200</v>
      </c>
      <c r="N133">
        <f>SUM(TabelaVendas1__2[[#This Row],[Valor_UnitarioXQtd]],TabelaVendas1__2[[#This Row],[Valor_Lucro]])</f>
        <v>3080</v>
      </c>
      <c r="O133" s="2" t="s">
        <v>20</v>
      </c>
    </row>
    <row r="134" spans="1:15">
      <c r="A134" t="s">
        <v>125</v>
      </c>
      <c r="B134" t="s">
        <v>22</v>
      </c>
      <c r="C134" t="s">
        <v>23</v>
      </c>
      <c r="D134" t="s">
        <v>126</v>
      </c>
      <c r="E134" s="1">
        <v>43127</v>
      </c>
      <c r="F134" t="s">
        <v>30</v>
      </c>
      <c r="G134" t="str">
        <f ca="1">VLOOKUP(RAND(),{0,"Lucas";0.39,"Roberto";0.63,"Carla";0.78,"Pedro";0.93,"Emilly"},2,TRUE)</f>
        <v>Carla</v>
      </c>
      <c r="H134">
        <v>1</v>
      </c>
      <c r="I134">
        <v>1400</v>
      </c>
      <c r="J134">
        <v>0.4</v>
      </c>
      <c r="K134">
        <f>PRODUCT(TabelaVendas1__2[[#This Row],[Valor_UnitarioXQtd]],TabelaVendas1__2[[#This Row],[Percentual_Lucro]])</f>
        <v>560</v>
      </c>
      <c r="L134">
        <v>1400</v>
      </c>
      <c r="M134">
        <f>PRODUCT(TabelaVendas1__2[[#This Row],[Quantidade]],TabelaVendas1__2[[#This Row],[Valor_Unitario]])</f>
        <v>1400</v>
      </c>
      <c r="N134">
        <f>SUM(TabelaVendas1__2[[#This Row],[Valor_UnitarioXQtd]],TabelaVendas1__2[[#This Row],[Valor_Lucro]])</f>
        <v>1960</v>
      </c>
      <c r="O134" s="2" t="s">
        <v>127</v>
      </c>
    </row>
    <row r="135" spans="1:15">
      <c r="A135" t="s">
        <v>128</v>
      </c>
      <c r="B135" t="s">
        <v>16</v>
      </c>
      <c r="C135" t="s">
        <v>17</v>
      </c>
      <c r="D135" t="s">
        <v>29</v>
      </c>
      <c r="E135" s="1">
        <v>43127</v>
      </c>
      <c r="F135" t="s">
        <v>30</v>
      </c>
      <c r="G135" t="str">
        <f ca="1">VLOOKUP(RAND(),{0,"Lucas";0.39,"Roberto";0.63,"Carla";0.78,"Pedro";0.93,"Emilly"},2,TRUE)</f>
        <v>Carla</v>
      </c>
      <c r="H135">
        <v>1</v>
      </c>
      <c r="I135">
        <v>1400</v>
      </c>
      <c r="J135">
        <v>0.4</v>
      </c>
      <c r="K135">
        <f>PRODUCT(TabelaVendas1__2[[#This Row],[Valor_UnitarioXQtd]],TabelaVendas1__2[[#This Row],[Percentual_Lucro]])</f>
        <v>560</v>
      </c>
      <c r="L135">
        <v>1400</v>
      </c>
      <c r="M135">
        <f>PRODUCT(TabelaVendas1__2[[#This Row],[Quantidade]],TabelaVendas1__2[[#This Row],[Valor_Unitario]])</f>
        <v>1400</v>
      </c>
      <c r="N135">
        <f>SUM(TabelaVendas1__2[[#This Row],[Valor_UnitarioXQtd]],TabelaVendas1__2[[#This Row],[Valor_Lucro]])</f>
        <v>1960</v>
      </c>
      <c r="O135" s="2" t="s">
        <v>31</v>
      </c>
    </row>
    <row r="136" spans="1:15">
      <c r="A136" t="s">
        <v>129</v>
      </c>
      <c r="B136" t="s">
        <v>16</v>
      </c>
      <c r="C136" t="s">
        <v>17</v>
      </c>
      <c r="D136" t="s">
        <v>34</v>
      </c>
      <c r="E136" s="1">
        <v>43127</v>
      </c>
      <c r="F136" t="s">
        <v>30</v>
      </c>
      <c r="G136" t="str">
        <f ca="1">VLOOKUP(RAND(),{0,"Lucas";0.39,"Roberto";0.63,"Carla";0.78,"Pedro";0.93,"Emilly"},2,TRUE)</f>
        <v>Carla</v>
      </c>
      <c r="H136">
        <v>1</v>
      </c>
      <c r="I136">
        <v>850</v>
      </c>
      <c r="J136">
        <v>0.4</v>
      </c>
      <c r="K136">
        <f>PRODUCT(TabelaVendas1__2[[#This Row],[Valor_UnitarioXQtd]],TabelaVendas1__2[[#This Row],[Percentual_Lucro]])</f>
        <v>340</v>
      </c>
      <c r="L136">
        <v>850</v>
      </c>
      <c r="M136">
        <f>PRODUCT(TabelaVendas1__2[[#This Row],[Quantidade]],TabelaVendas1__2[[#This Row],[Valor_Unitario]])</f>
        <v>850</v>
      </c>
      <c r="N136">
        <f>SUM(TabelaVendas1__2[[#This Row],[Valor_UnitarioXQtd]],TabelaVendas1__2[[#This Row],[Valor_Lucro]])</f>
        <v>1190</v>
      </c>
      <c r="O136" s="2" t="s">
        <v>35</v>
      </c>
    </row>
    <row r="137" spans="1:15">
      <c r="A137" t="s">
        <v>130</v>
      </c>
      <c r="B137" t="s">
        <v>16</v>
      </c>
      <c r="C137" t="s">
        <v>17</v>
      </c>
      <c r="D137" t="s">
        <v>34</v>
      </c>
      <c r="E137" s="1">
        <v>43127</v>
      </c>
      <c r="F137" t="s">
        <v>27</v>
      </c>
      <c r="G137" t="str">
        <f ca="1">VLOOKUP(RAND(),{0,"Lucas";0.39,"Roberto";0.63,"Carla";0.78,"Pedro";0.93,"Emilly"},2,TRUE)</f>
        <v>Pedro</v>
      </c>
      <c r="H137">
        <v>1</v>
      </c>
      <c r="I137">
        <v>2000</v>
      </c>
      <c r="J137">
        <v>0.4</v>
      </c>
      <c r="K137">
        <f>PRODUCT(TabelaVendas1__2[[#This Row],[Valor_UnitarioXQtd]],TabelaVendas1__2[[#This Row],[Percentual_Lucro]])</f>
        <v>800</v>
      </c>
      <c r="L137">
        <v>2000</v>
      </c>
      <c r="M137">
        <f>PRODUCT(TabelaVendas1__2[[#This Row],[Quantidade]],TabelaVendas1__2[[#This Row],[Valor_Unitario]])</f>
        <v>2000</v>
      </c>
      <c r="N137">
        <f>SUM(TabelaVendas1__2[[#This Row],[Valor_UnitarioXQtd]],TabelaVendas1__2[[#This Row],[Valor_Lucro]])</f>
        <v>2800</v>
      </c>
      <c r="O137" s="2" t="s">
        <v>35</v>
      </c>
    </row>
    <row r="138" spans="1:15">
      <c r="A138" t="s">
        <v>60</v>
      </c>
      <c r="B138" t="s">
        <v>22</v>
      </c>
      <c r="C138" t="s">
        <v>23</v>
      </c>
      <c r="D138" t="s">
        <v>34</v>
      </c>
      <c r="E138" s="1">
        <v>43127</v>
      </c>
      <c r="F138" t="s">
        <v>30</v>
      </c>
      <c r="G138" t="str">
        <f ca="1">VLOOKUP(RAND(),{0,"Lucas";0.39,"Roberto";0.63,"Carla";0.78,"Pedro";0.93,"Emilly"},2,TRUE)</f>
        <v>Roberto</v>
      </c>
      <c r="H138">
        <v>1</v>
      </c>
      <c r="I138">
        <v>1400</v>
      </c>
      <c r="J138">
        <v>0.4</v>
      </c>
      <c r="K138">
        <f>PRODUCT(TabelaVendas1__2[[#This Row],[Valor_UnitarioXQtd]],TabelaVendas1__2[[#This Row],[Percentual_Lucro]])</f>
        <v>560</v>
      </c>
      <c r="L138">
        <v>1400</v>
      </c>
      <c r="M138">
        <f>PRODUCT(TabelaVendas1__2[[#This Row],[Quantidade]],TabelaVendas1__2[[#This Row],[Valor_Unitario]])</f>
        <v>1400</v>
      </c>
      <c r="N138">
        <f>SUM(TabelaVendas1__2[[#This Row],[Valor_UnitarioXQtd]],TabelaVendas1__2[[#This Row],[Valor_Lucro]])</f>
        <v>1960</v>
      </c>
      <c r="O138" s="2" t="s">
        <v>35</v>
      </c>
    </row>
    <row r="139" spans="1:15">
      <c r="A139" t="s">
        <v>66</v>
      </c>
      <c r="B139" t="s">
        <v>22</v>
      </c>
      <c r="C139" t="s">
        <v>23</v>
      </c>
      <c r="D139" t="s">
        <v>24</v>
      </c>
      <c r="E139" s="1">
        <v>43139</v>
      </c>
      <c r="F139" t="s">
        <v>27</v>
      </c>
      <c r="G139" t="str">
        <f ca="1">VLOOKUP(RAND(),{0,"Lucas";0.39,"Roberto";0.63,"Carla";0.78,"Pedro";0.93,"Emilly"},2,TRUE)</f>
        <v>Roberto</v>
      </c>
      <c r="H139">
        <v>1</v>
      </c>
      <c r="I139">
        <v>4200</v>
      </c>
      <c r="J139">
        <v>0.4</v>
      </c>
      <c r="K139">
        <f>PRODUCT(TabelaVendas1__2[[#This Row],[Valor_UnitarioXQtd]],TabelaVendas1__2[[#This Row],[Percentual_Lucro]])</f>
        <v>1680</v>
      </c>
      <c r="L139">
        <v>4200</v>
      </c>
      <c r="M139">
        <f>PRODUCT(TabelaVendas1__2[[#This Row],[Quantidade]],TabelaVendas1__2[[#This Row],[Valor_Unitario]])</f>
        <v>4200</v>
      </c>
      <c r="N139">
        <f>SUM(TabelaVendas1__2[[#This Row],[Valor_UnitarioXQtd]],TabelaVendas1__2[[#This Row],[Valor_Lucro]])</f>
        <v>5880</v>
      </c>
      <c r="O139" s="2" t="s">
        <v>25</v>
      </c>
    </row>
    <row r="140" spans="1:15">
      <c r="A140" t="s">
        <v>131</v>
      </c>
      <c r="B140" t="s">
        <v>22</v>
      </c>
      <c r="C140" t="s">
        <v>23</v>
      </c>
      <c r="D140" t="s">
        <v>18</v>
      </c>
      <c r="E140" s="1">
        <v>43139</v>
      </c>
      <c r="F140" t="s">
        <v>30</v>
      </c>
      <c r="G140" t="str">
        <f ca="1">VLOOKUP(RAND(),{0,"Lucas";0.39,"Roberto";0.63,"Carla";0.78,"Pedro";0.93,"Emilly"},2,TRUE)</f>
        <v>Emilly</v>
      </c>
      <c r="H140">
        <v>1</v>
      </c>
      <c r="I140">
        <v>4100</v>
      </c>
      <c r="J140">
        <v>0.4</v>
      </c>
      <c r="K140">
        <f>PRODUCT(TabelaVendas1__2[[#This Row],[Valor_UnitarioXQtd]],TabelaVendas1__2[[#This Row],[Percentual_Lucro]])</f>
        <v>1640</v>
      </c>
      <c r="L140">
        <v>4100</v>
      </c>
      <c r="M140">
        <f>PRODUCT(TabelaVendas1__2[[#This Row],[Quantidade]],TabelaVendas1__2[[#This Row],[Valor_Unitario]])</f>
        <v>4100</v>
      </c>
      <c r="N140">
        <f>SUM(TabelaVendas1__2[[#This Row],[Valor_UnitarioXQtd]],TabelaVendas1__2[[#This Row],[Valor_Lucro]])</f>
        <v>5740</v>
      </c>
      <c r="O140" s="2" t="s">
        <v>20</v>
      </c>
    </row>
    <row r="141" spans="1:15">
      <c r="A141" t="s">
        <v>53</v>
      </c>
      <c r="B141" t="s">
        <v>22</v>
      </c>
      <c r="C141" t="s">
        <v>23</v>
      </c>
      <c r="D141" t="s">
        <v>54</v>
      </c>
      <c r="E141" s="1">
        <v>43139</v>
      </c>
      <c r="F141" t="s">
        <v>19</v>
      </c>
      <c r="G141" t="str">
        <f ca="1">VLOOKUP(RAND(),{0,"Lucas";0.39,"Roberto";0.63,"Carla";0.78,"Pedro";0.93,"Emilly"},2,TRUE)</f>
        <v>Lucas</v>
      </c>
      <c r="H141">
        <v>1</v>
      </c>
      <c r="I141">
        <v>1200</v>
      </c>
      <c r="J141">
        <v>0.4</v>
      </c>
      <c r="K141">
        <f>PRODUCT(TabelaVendas1__2[[#This Row],[Valor_UnitarioXQtd]],TabelaVendas1__2[[#This Row],[Percentual_Lucro]])</f>
        <v>480</v>
      </c>
      <c r="L141">
        <v>1200</v>
      </c>
      <c r="M141">
        <f>PRODUCT(TabelaVendas1__2[[#This Row],[Quantidade]],TabelaVendas1__2[[#This Row],[Valor_Unitario]])</f>
        <v>1200</v>
      </c>
      <c r="N141">
        <f>SUM(TabelaVendas1__2[[#This Row],[Valor_UnitarioXQtd]],TabelaVendas1__2[[#This Row],[Valor_Lucro]])</f>
        <v>1680</v>
      </c>
      <c r="O141" s="2" t="s">
        <v>55</v>
      </c>
    </row>
    <row r="142" spans="1:15">
      <c r="A142" t="s">
        <v>132</v>
      </c>
      <c r="B142" t="s">
        <v>22</v>
      </c>
      <c r="C142" t="s">
        <v>33</v>
      </c>
      <c r="D142" t="s">
        <v>34</v>
      </c>
      <c r="E142" s="1">
        <v>43139</v>
      </c>
      <c r="F142" t="s">
        <v>19</v>
      </c>
      <c r="G142" t="str">
        <f ca="1">VLOOKUP(RAND(),{0,"Lucas";0.39,"Roberto";0.63,"Carla";0.78,"Pedro";0.93,"Emilly"},2,TRUE)</f>
        <v>Emilly</v>
      </c>
      <c r="H142">
        <v>1</v>
      </c>
      <c r="I142">
        <v>3800</v>
      </c>
      <c r="J142">
        <v>0.4</v>
      </c>
      <c r="K142">
        <f>PRODUCT(TabelaVendas1__2[[#This Row],[Valor_UnitarioXQtd]],TabelaVendas1__2[[#This Row],[Percentual_Lucro]])</f>
        <v>1520</v>
      </c>
      <c r="L142">
        <v>3800</v>
      </c>
      <c r="M142">
        <f>PRODUCT(TabelaVendas1__2[[#This Row],[Quantidade]],TabelaVendas1__2[[#This Row],[Valor_Unitario]])</f>
        <v>3800</v>
      </c>
      <c r="N142">
        <f>SUM(TabelaVendas1__2[[#This Row],[Valor_UnitarioXQtd]],TabelaVendas1__2[[#This Row],[Valor_Lucro]])</f>
        <v>5320</v>
      </c>
      <c r="O142" s="2" t="s">
        <v>35</v>
      </c>
    </row>
    <row r="143" spans="1:15">
      <c r="A143" t="s">
        <v>49</v>
      </c>
      <c r="B143" t="s">
        <v>22</v>
      </c>
      <c r="C143" t="s">
        <v>33</v>
      </c>
      <c r="D143" t="s">
        <v>42</v>
      </c>
      <c r="E143" s="1">
        <v>43187</v>
      </c>
      <c r="F143" t="s">
        <v>19</v>
      </c>
      <c r="G143" t="str">
        <f ca="1">VLOOKUP(RAND(),{0,"Lucas";0.39,"Roberto";0.63,"Carla";0.78,"Pedro";0.93,"Emilly"},2,TRUE)</f>
        <v>Lucas</v>
      </c>
      <c r="H143">
        <v>1</v>
      </c>
      <c r="I143">
        <v>2300</v>
      </c>
      <c r="J143">
        <v>0.4</v>
      </c>
      <c r="K143">
        <f>PRODUCT(TabelaVendas1__2[[#This Row],[Valor_UnitarioXQtd]],TabelaVendas1__2[[#This Row],[Percentual_Lucro]])</f>
        <v>920</v>
      </c>
      <c r="L143">
        <v>2300</v>
      </c>
      <c r="M143">
        <f>PRODUCT(TabelaVendas1__2[[#This Row],[Quantidade]],TabelaVendas1__2[[#This Row],[Valor_Unitario]])</f>
        <v>2300</v>
      </c>
      <c r="N143">
        <f>SUM(TabelaVendas1__2[[#This Row],[Valor_UnitarioXQtd]],TabelaVendas1__2[[#This Row],[Valor_Lucro]])</f>
        <v>3220</v>
      </c>
      <c r="O143" s="2" t="s">
        <v>43</v>
      </c>
    </row>
    <row r="144" spans="1:15">
      <c r="A144" t="s">
        <v>62</v>
      </c>
      <c r="B144" t="s">
        <v>22</v>
      </c>
      <c r="C144" t="s">
        <v>23</v>
      </c>
      <c r="D144" t="s">
        <v>24</v>
      </c>
      <c r="E144" s="1">
        <v>43187</v>
      </c>
      <c r="F144" t="s">
        <v>27</v>
      </c>
      <c r="G144" t="str">
        <f ca="1">VLOOKUP(RAND(),{0,"Lucas";0.39,"Roberto";0.63,"Carla";0.78,"Pedro";0.93,"Emilly"},2,TRUE)</f>
        <v>Carla</v>
      </c>
      <c r="H144">
        <v>1</v>
      </c>
      <c r="I144">
        <v>8700</v>
      </c>
      <c r="J144">
        <v>0.4</v>
      </c>
      <c r="K144">
        <f>PRODUCT(TabelaVendas1__2[[#This Row],[Valor_UnitarioXQtd]],TabelaVendas1__2[[#This Row],[Percentual_Lucro]])</f>
        <v>3480</v>
      </c>
      <c r="L144">
        <v>8700</v>
      </c>
      <c r="M144">
        <f>PRODUCT(TabelaVendas1__2[[#This Row],[Quantidade]],TabelaVendas1__2[[#This Row],[Valor_Unitario]])</f>
        <v>8700</v>
      </c>
      <c r="N144">
        <f>SUM(TabelaVendas1__2[[#This Row],[Valor_UnitarioXQtd]],TabelaVendas1__2[[#This Row],[Valor_Lucro]])</f>
        <v>12180</v>
      </c>
      <c r="O144" s="2" t="s">
        <v>25</v>
      </c>
    </row>
    <row r="145" spans="1:15">
      <c r="A145" t="s">
        <v>133</v>
      </c>
      <c r="B145" t="s">
        <v>16</v>
      </c>
      <c r="C145" t="s">
        <v>17</v>
      </c>
      <c r="D145" t="s">
        <v>18</v>
      </c>
      <c r="E145" s="1">
        <v>43187</v>
      </c>
      <c r="F145" t="s">
        <v>19</v>
      </c>
      <c r="G145" t="str">
        <f ca="1">VLOOKUP(RAND(),{0,"Lucas";0.39,"Roberto";0.63,"Carla";0.78,"Pedro";0.93,"Emilly"},2,TRUE)</f>
        <v>Lucas</v>
      </c>
      <c r="H145">
        <v>1</v>
      </c>
      <c r="I145">
        <v>6300</v>
      </c>
      <c r="J145">
        <v>0.4</v>
      </c>
      <c r="K145">
        <f>PRODUCT(TabelaVendas1__2[[#This Row],[Valor_UnitarioXQtd]],TabelaVendas1__2[[#This Row],[Percentual_Lucro]])</f>
        <v>2520</v>
      </c>
      <c r="L145">
        <v>6300</v>
      </c>
      <c r="M145">
        <f>PRODUCT(TabelaVendas1__2[[#This Row],[Quantidade]],TabelaVendas1__2[[#This Row],[Valor_Unitario]])</f>
        <v>6300</v>
      </c>
      <c r="N145">
        <f>SUM(TabelaVendas1__2[[#This Row],[Valor_UnitarioXQtd]],TabelaVendas1__2[[#This Row],[Valor_Lucro]])</f>
        <v>8820</v>
      </c>
      <c r="O145" s="2" t="s">
        <v>20</v>
      </c>
    </row>
    <row r="146" spans="1:15">
      <c r="A146" t="s">
        <v>67</v>
      </c>
      <c r="B146" t="s">
        <v>22</v>
      </c>
      <c r="C146" t="s">
        <v>23</v>
      </c>
      <c r="D146" t="s">
        <v>18</v>
      </c>
      <c r="E146" s="1">
        <v>43187</v>
      </c>
      <c r="F146" t="s">
        <v>30</v>
      </c>
      <c r="G146" t="str">
        <f ca="1">VLOOKUP(RAND(),{0,"Lucas";0.39,"Roberto";0.63,"Carla";0.78,"Pedro";0.93,"Emilly"},2,TRUE)</f>
        <v>Lucas</v>
      </c>
      <c r="H146">
        <v>1</v>
      </c>
      <c r="I146">
        <v>3500</v>
      </c>
      <c r="J146">
        <v>0.4</v>
      </c>
      <c r="K146">
        <f>PRODUCT(TabelaVendas1__2[[#This Row],[Valor_UnitarioXQtd]],TabelaVendas1__2[[#This Row],[Percentual_Lucro]])</f>
        <v>1400</v>
      </c>
      <c r="L146">
        <v>3500</v>
      </c>
      <c r="M146">
        <f>PRODUCT(TabelaVendas1__2[[#This Row],[Quantidade]],TabelaVendas1__2[[#This Row],[Valor_Unitario]])</f>
        <v>3500</v>
      </c>
      <c r="N146">
        <f>SUM(TabelaVendas1__2[[#This Row],[Valor_UnitarioXQtd]],TabelaVendas1__2[[#This Row],[Valor_Lucro]])</f>
        <v>4900</v>
      </c>
      <c r="O146" s="2" t="s">
        <v>20</v>
      </c>
    </row>
    <row r="147" spans="1:15">
      <c r="A147" t="s">
        <v>134</v>
      </c>
      <c r="B147" t="s">
        <v>22</v>
      </c>
      <c r="C147" t="s">
        <v>23</v>
      </c>
      <c r="D147" t="s">
        <v>42</v>
      </c>
      <c r="E147" s="1">
        <v>43220</v>
      </c>
      <c r="F147" t="s">
        <v>27</v>
      </c>
      <c r="G147" t="str">
        <f ca="1">VLOOKUP(RAND(),{0,"Lucas";0.39,"Roberto";0.63,"Carla";0.78,"Pedro";0.93,"Emilly"},2,TRUE)</f>
        <v>Pedro</v>
      </c>
      <c r="H147">
        <v>1</v>
      </c>
      <c r="I147">
        <v>2450</v>
      </c>
      <c r="J147">
        <v>0.4</v>
      </c>
      <c r="K147">
        <f>PRODUCT(TabelaVendas1__2[[#This Row],[Valor_UnitarioXQtd]],TabelaVendas1__2[[#This Row],[Percentual_Lucro]])</f>
        <v>980</v>
      </c>
      <c r="L147">
        <v>2450</v>
      </c>
      <c r="M147">
        <f>PRODUCT(TabelaVendas1__2[[#This Row],[Quantidade]],TabelaVendas1__2[[#This Row],[Valor_Unitario]])</f>
        <v>2450</v>
      </c>
      <c r="N147">
        <f>SUM(TabelaVendas1__2[[#This Row],[Valor_UnitarioXQtd]],TabelaVendas1__2[[#This Row],[Valor_Lucro]])</f>
        <v>3430</v>
      </c>
      <c r="O147" s="2" t="s">
        <v>43</v>
      </c>
    </row>
    <row r="148" spans="1:15">
      <c r="A148" t="s">
        <v>86</v>
      </c>
      <c r="B148" t="s">
        <v>22</v>
      </c>
      <c r="C148" t="s">
        <v>23</v>
      </c>
      <c r="D148" t="s">
        <v>18</v>
      </c>
      <c r="E148" s="1">
        <v>43220</v>
      </c>
      <c r="F148" t="s">
        <v>27</v>
      </c>
      <c r="G148" t="str">
        <f ca="1">VLOOKUP(RAND(),{0,"Lucas";0.39,"Roberto";0.63,"Carla";0.78,"Pedro";0.93,"Emilly"},2,TRUE)</f>
        <v>Roberto</v>
      </c>
      <c r="H148">
        <v>1</v>
      </c>
      <c r="I148">
        <v>2500</v>
      </c>
      <c r="J148">
        <v>0.4</v>
      </c>
      <c r="K148">
        <f>PRODUCT(TabelaVendas1__2[[#This Row],[Valor_UnitarioXQtd]],TabelaVendas1__2[[#This Row],[Percentual_Lucro]])</f>
        <v>1000</v>
      </c>
      <c r="L148">
        <v>2500</v>
      </c>
      <c r="M148">
        <f>PRODUCT(TabelaVendas1__2[[#This Row],[Quantidade]],TabelaVendas1__2[[#This Row],[Valor_Unitario]])</f>
        <v>2500</v>
      </c>
      <c r="N148">
        <f>SUM(TabelaVendas1__2[[#This Row],[Valor_UnitarioXQtd]],TabelaVendas1__2[[#This Row],[Valor_Lucro]])</f>
        <v>3500</v>
      </c>
      <c r="O148" s="2" t="s">
        <v>20</v>
      </c>
    </row>
    <row r="149" spans="1:15">
      <c r="A149" t="s">
        <v>94</v>
      </c>
      <c r="B149" t="s">
        <v>22</v>
      </c>
      <c r="C149" t="s">
        <v>33</v>
      </c>
      <c r="D149" t="s">
        <v>54</v>
      </c>
      <c r="E149" s="1">
        <v>43220</v>
      </c>
      <c r="F149" t="s">
        <v>27</v>
      </c>
      <c r="G149" t="str">
        <f ca="1">VLOOKUP(RAND(),{0,"Lucas";0.39,"Roberto";0.63,"Carla";0.78,"Pedro";0.93,"Emilly"},2,TRUE)</f>
        <v>Pedro</v>
      </c>
      <c r="H149">
        <v>1</v>
      </c>
      <c r="I149">
        <v>2400</v>
      </c>
      <c r="J149">
        <v>0.4</v>
      </c>
      <c r="K149">
        <f>PRODUCT(TabelaVendas1__2[[#This Row],[Valor_UnitarioXQtd]],TabelaVendas1__2[[#This Row],[Percentual_Lucro]])</f>
        <v>960</v>
      </c>
      <c r="L149">
        <v>2400</v>
      </c>
      <c r="M149">
        <f>PRODUCT(TabelaVendas1__2[[#This Row],[Quantidade]],TabelaVendas1__2[[#This Row],[Valor_Unitario]])</f>
        <v>2400</v>
      </c>
      <c r="N149">
        <f>SUM(TabelaVendas1__2[[#This Row],[Valor_UnitarioXQtd]],TabelaVendas1__2[[#This Row],[Valor_Lucro]])</f>
        <v>3360</v>
      </c>
      <c r="O149" s="2" t="s">
        <v>55</v>
      </c>
    </row>
    <row r="150" spans="1:15">
      <c r="A150" t="s">
        <v>46</v>
      </c>
      <c r="B150" t="s">
        <v>22</v>
      </c>
      <c r="C150" t="s">
        <v>23</v>
      </c>
      <c r="D150" t="s">
        <v>47</v>
      </c>
      <c r="E150" s="1">
        <v>43220</v>
      </c>
      <c r="F150" t="s">
        <v>30</v>
      </c>
      <c r="G150" t="str">
        <f ca="1">VLOOKUP(RAND(),{0,"Lucas";0.39,"Roberto";0.63,"Carla";0.78,"Pedro";0.93,"Emilly"},2,TRUE)</f>
        <v>Pedro</v>
      </c>
      <c r="H150">
        <v>1</v>
      </c>
      <c r="I150">
        <v>5300</v>
      </c>
      <c r="J150">
        <v>0.4</v>
      </c>
      <c r="K150">
        <f>PRODUCT(TabelaVendas1__2[[#This Row],[Valor_UnitarioXQtd]],TabelaVendas1__2[[#This Row],[Percentual_Lucro]])</f>
        <v>2120</v>
      </c>
      <c r="L150">
        <v>5300</v>
      </c>
      <c r="M150">
        <f>PRODUCT(TabelaVendas1__2[[#This Row],[Quantidade]],TabelaVendas1__2[[#This Row],[Valor_Unitario]])</f>
        <v>5300</v>
      </c>
      <c r="N150">
        <f>SUM(TabelaVendas1__2[[#This Row],[Valor_UnitarioXQtd]],TabelaVendas1__2[[#This Row],[Valor_Lucro]])</f>
        <v>7420</v>
      </c>
      <c r="O150" s="2" t="s">
        <v>48</v>
      </c>
    </row>
    <row r="151" spans="1:15">
      <c r="A151" t="s">
        <v>102</v>
      </c>
      <c r="B151" t="s">
        <v>22</v>
      </c>
      <c r="C151" t="s">
        <v>23</v>
      </c>
      <c r="D151" t="s">
        <v>75</v>
      </c>
      <c r="E151" s="1">
        <v>43244</v>
      </c>
      <c r="F151" t="s">
        <v>19</v>
      </c>
      <c r="G151" t="str">
        <f ca="1">VLOOKUP(RAND(),{0,"Lucas";0.39,"Roberto";0.63,"Carla";0.78,"Pedro";0.93,"Emilly"},2,TRUE)</f>
        <v>Carla</v>
      </c>
      <c r="H151">
        <v>2</v>
      </c>
      <c r="I151">
        <v>900</v>
      </c>
      <c r="J151">
        <v>0.4</v>
      </c>
      <c r="K151">
        <f>PRODUCT(TabelaVendas1__2[[#This Row],[Valor_UnitarioXQtd]],TabelaVendas1__2[[#This Row],[Percentual_Lucro]])</f>
        <v>720</v>
      </c>
      <c r="L151">
        <v>1800</v>
      </c>
      <c r="M151">
        <f>PRODUCT(TabelaVendas1__2[[#This Row],[Quantidade]],TabelaVendas1__2[[#This Row],[Valor_Unitario]])</f>
        <v>1800</v>
      </c>
      <c r="N151">
        <f>SUM(TabelaVendas1__2[[#This Row],[Valor_UnitarioXQtd]],TabelaVendas1__2[[#This Row],[Valor_Lucro]])</f>
        <v>2520</v>
      </c>
      <c r="O151" s="2" t="s">
        <v>76</v>
      </c>
    </row>
    <row r="152" spans="1:15">
      <c r="A152" t="s">
        <v>135</v>
      </c>
      <c r="B152" t="s">
        <v>22</v>
      </c>
      <c r="C152" t="s">
        <v>23</v>
      </c>
      <c r="D152" t="s">
        <v>42</v>
      </c>
      <c r="E152" s="1">
        <v>43244</v>
      </c>
      <c r="F152" t="s">
        <v>19</v>
      </c>
      <c r="G152" t="str">
        <f ca="1">VLOOKUP(RAND(),{0,"Lucas";0.39,"Roberto";0.63,"Carla";0.78,"Pedro";0.93,"Emilly"},2,TRUE)</f>
        <v>Roberto</v>
      </c>
      <c r="H152">
        <v>1</v>
      </c>
      <c r="I152">
        <v>320</v>
      </c>
      <c r="J152">
        <v>0.4</v>
      </c>
      <c r="K152">
        <f>PRODUCT(TabelaVendas1__2[[#This Row],[Valor_UnitarioXQtd]],TabelaVendas1__2[[#This Row],[Percentual_Lucro]])</f>
        <v>128</v>
      </c>
      <c r="L152">
        <v>320</v>
      </c>
      <c r="M152">
        <f>PRODUCT(TabelaVendas1__2[[#This Row],[Quantidade]],TabelaVendas1__2[[#This Row],[Valor_Unitario]])</f>
        <v>320</v>
      </c>
      <c r="N152">
        <f>SUM(TabelaVendas1__2[[#This Row],[Valor_UnitarioXQtd]],TabelaVendas1__2[[#This Row],[Valor_Lucro]])</f>
        <v>448</v>
      </c>
      <c r="O152" s="2" t="s">
        <v>43</v>
      </c>
    </row>
    <row r="153" spans="1:15">
      <c r="A153" t="s">
        <v>136</v>
      </c>
      <c r="B153" t="s">
        <v>22</v>
      </c>
      <c r="C153" t="s">
        <v>23</v>
      </c>
      <c r="D153" t="s">
        <v>121</v>
      </c>
      <c r="E153" s="1">
        <v>43244</v>
      </c>
      <c r="F153" t="s">
        <v>19</v>
      </c>
      <c r="G153" t="str">
        <f ca="1">VLOOKUP(RAND(),{0,"Lucas";0.39,"Roberto";0.63,"Carla";0.78,"Pedro";0.93,"Emilly"},2,TRUE)</f>
        <v>Roberto</v>
      </c>
      <c r="H153">
        <v>2</v>
      </c>
      <c r="I153">
        <v>900</v>
      </c>
      <c r="J153">
        <v>0.4</v>
      </c>
      <c r="K153">
        <f>PRODUCT(TabelaVendas1__2[[#This Row],[Valor_UnitarioXQtd]],TabelaVendas1__2[[#This Row],[Percentual_Lucro]])</f>
        <v>720</v>
      </c>
      <c r="L153">
        <v>1800</v>
      </c>
      <c r="M153">
        <f>PRODUCT(TabelaVendas1__2[[#This Row],[Quantidade]],TabelaVendas1__2[[#This Row],[Valor_Unitario]])</f>
        <v>1800</v>
      </c>
      <c r="N153">
        <f>SUM(TabelaVendas1__2[[#This Row],[Valor_UnitarioXQtd]],TabelaVendas1__2[[#This Row],[Valor_Lucro]])</f>
        <v>2520</v>
      </c>
      <c r="O153" s="2" t="s">
        <v>122</v>
      </c>
    </row>
    <row r="154" spans="1:15">
      <c r="A154" t="s">
        <v>62</v>
      </c>
      <c r="B154" t="s">
        <v>22</v>
      </c>
      <c r="C154" t="s">
        <v>23</v>
      </c>
      <c r="D154" t="s">
        <v>24</v>
      </c>
      <c r="E154" s="1">
        <v>43244</v>
      </c>
      <c r="F154" t="s">
        <v>19</v>
      </c>
      <c r="G154" t="str">
        <f ca="1">VLOOKUP(RAND(),{0,"Lucas";0.39,"Roberto";0.63,"Carla";0.78,"Pedro";0.93,"Emilly"},2,TRUE)</f>
        <v>Roberto</v>
      </c>
      <c r="H154">
        <v>1</v>
      </c>
      <c r="I154">
        <v>7000</v>
      </c>
      <c r="J154">
        <v>0.4</v>
      </c>
      <c r="K154">
        <f>PRODUCT(TabelaVendas1__2[[#This Row],[Valor_UnitarioXQtd]],TabelaVendas1__2[[#This Row],[Percentual_Lucro]])</f>
        <v>2800</v>
      </c>
      <c r="L154">
        <v>7000</v>
      </c>
      <c r="M154">
        <f>PRODUCT(TabelaVendas1__2[[#This Row],[Quantidade]],TabelaVendas1__2[[#This Row],[Valor_Unitario]])</f>
        <v>7000</v>
      </c>
      <c r="N154">
        <f>SUM(TabelaVendas1__2[[#This Row],[Valor_UnitarioXQtd]],TabelaVendas1__2[[#This Row],[Valor_Lucro]])</f>
        <v>9800</v>
      </c>
      <c r="O154" s="2" t="s">
        <v>25</v>
      </c>
    </row>
    <row r="155" spans="1:15">
      <c r="A155" t="s">
        <v>137</v>
      </c>
      <c r="B155" t="s">
        <v>22</v>
      </c>
      <c r="C155" t="s">
        <v>23</v>
      </c>
      <c r="D155" t="s">
        <v>24</v>
      </c>
      <c r="E155" s="1">
        <v>43244</v>
      </c>
      <c r="F155" t="s">
        <v>30</v>
      </c>
      <c r="G155" t="str">
        <f ca="1">VLOOKUP(RAND(),{0,"Lucas";0.39,"Roberto";0.63,"Carla";0.78,"Pedro";0.93,"Emilly"},2,TRUE)</f>
        <v>Lucas</v>
      </c>
      <c r="H155">
        <v>1</v>
      </c>
      <c r="I155">
        <v>1000</v>
      </c>
      <c r="J155">
        <v>0.4</v>
      </c>
      <c r="K155">
        <f>PRODUCT(TabelaVendas1__2[[#This Row],[Valor_UnitarioXQtd]],TabelaVendas1__2[[#This Row],[Percentual_Lucro]])</f>
        <v>400</v>
      </c>
      <c r="L155">
        <v>1000</v>
      </c>
      <c r="M155">
        <f>PRODUCT(TabelaVendas1__2[[#This Row],[Quantidade]],TabelaVendas1__2[[#This Row],[Valor_Unitario]])</f>
        <v>1000</v>
      </c>
      <c r="N155">
        <f>SUM(TabelaVendas1__2[[#This Row],[Valor_UnitarioXQtd]],TabelaVendas1__2[[#This Row],[Valor_Lucro]])</f>
        <v>1400</v>
      </c>
      <c r="O155" s="2" t="s">
        <v>25</v>
      </c>
    </row>
    <row r="156" spans="1:15">
      <c r="A156" t="s">
        <v>138</v>
      </c>
      <c r="B156" t="s">
        <v>16</v>
      </c>
      <c r="C156" t="s">
        <v>17</v>
      </c>
      <c r="D156" t="s">
        <v>18</v>
      </c>
      <c r="E156" s="1">
        <v>43244</v>
      </c>
      <c r="F156" t="s">
        <v>19</v>
      </c>
      <c r="G156" t="str">
        <f ca="1">VLOOKUP(RAND(),{0,"Lucas";0.39,"Roberto";0.63,"Carla";0.78,"Pedro";0.93,"Emilly"},2,TRUE)</f>
        <v>Lucas</v>
      </c>
      <c r="H156">
        <v>1</v>
      </c>
      <c r="I156">
        <v>650</v>
      </c>
      <c r="J156">
        <v>0.4</v>
      </c>
      <c r="K156">
        <f>PRODUCT(TabelaVendas1__2[[#This Row],[Valor_UnitarioXQtd]],TabelaVendas1__2[[#This Row],[Percentual_Lucro]])</f>
        <v>260</v>
      </c>
      <c r="L156">
        <v>650</v>
      </c>
      <c r="M156">
        <f>PRODUCT(TabelaVendas1__2[[#This Row],[Quantidade]],TabelaVendas1__2[[#This Row],[Valor_Unitario]])</f>
        <v>650</v>
      </c>
      <c r="N156">
        <f>SUM(TabelaVendas1__2[[#This Row],[Valor_UnitarioXQtd]],TabelaVendas1__2[[#This Row],[Valor_Lucro]])</f>
        <v>910</v>
      </c>
      <c r="O156" s="2" t="s">
        <v>20</v>
      </c>
    </row>
    <row r="157" spans="1:15">
      <c r="A157" t="s">
        <v>139</v>
      </c>
      <c r="B157" t="s">
        <v>22</v>
      </c>
      <c r="C157" t="s">
        <v>23</v>
      </c>
      <c r="D157" t="s">
        <v>18</v>
      </c>
      <c r="E157" s="1">
        <v>43244</v>
      </c>
      <c r="F157" t="s">
        <v>30</v>
      </c>
      <c r="G157" t="str">
        <f ca="1">VLOOKUP(RAND(),{0,"Lucas";0.39,"Roberto";0.63,"Carla";0.78,"Pedro";0.93,"Emilly"},2,TRUE)</f>
        <v>Roberto</v>
      </c>
      <c r="H157">
        <v>1</v>
      </c>
      <c r="I157">
        <v>750</v>
      </c>
      <c r="J157">
        <v>0.4</v>
      </c>
      <c r="K157">
        <f>PRODUCT(TabelaVendas1__2[[#This Row],[Valor_UnitarioXQtd]],TabelaVendas1__2[[#This Row],[Percentual_Lucro]])</f>
        <v>300</v>
      </c>
      <c r="L157">
        <v>750</v>
      </c>
      <c r="M157">
        <f>PRODUCT(TabelaVendas1__2[[#This Row],[Quantidade]],TabelaVendas1__2[[#This Row],[Valor_Unitario]])</f>
        <v>750</v>
      </c>
      <c r="N157">
        <f>SUM(TabelaVendas1__2[[#This Row],[Valor_UnitarioXQtd]],TabelaVendas1__2[[#This Row],[Valor_Lucro]])</f>
        <v>1050</v>
      </c>
      <c r="O157" s="2" t="s">
        <v>20</v>
      </c>
    </row>
    <row r="158" spans="1:15">
      <c r="A158" t="s">
        <v>113</v>
      </c>
      <c r="B158" t="s">
        <v>22</v>
      </c>
      <c r="C158" t="s">
        <v>23</v>
      </c>
      <c r="D158" t="s">
        <v>18</v>
      </c>
      <c r="E158" s="1">
        <v>43244</v>
      </c>
      <c r="F158" t="s">
        <v>19</v>
      </c>
      <c r="G158" t="str">
        <f ca="1">VLOOKUP(RAND(),{0,"Lucas";0.39,"Roberto";0.63,"Carla";0.78,"Pedro";0.93,"Emilly"},2,TRUE)</f>
        <v>Lucas</v>
      </c>
      <c r="H158">
        <v>1</v>
      </c>
      <c r="I158">
        <v>950</v>
      </c>
      <c r="J158">
        <v>0.4</v>
      </c>
      <c r="K158">
        <f>PRODUCT(TabelaVendas1__2[[#This Row],[Valor_UnitarioXQtd]],TabelaVendas1__2[[#This Row],[Percentual_Lucro]])</f>
        <v>380</v>
      </c>
      <c r="L158">
        <v>950</v>
      </c>
      <c r="M158">
        <f>PRODUCT(TabelaVendas1__2[[#This Row],[Quantidade]],TabelaVendas1__2[[#This Row],[Valor_Unitario]])</f>
        <v>950</v>
      </c>
      <c r="N158">
        <f>SUM(TabelaVendas1__2[[#This Row],[Valor_UnitarioXQtd]],TabelaVendas1__2[[#This Row],[Valor_Lucro]])</f>
        <v>1330</v>
      </c>
      <c r="O158" s="2" t="s">
        <v>20</v>
      </c>
    </row>
    <row r="159" spans="1:15">
      <c r="A159" t="s">
        <v>140</v>
      </c>
      <c r="B159" t="s">
        <v>22</v>
      </c>
      <c r="C159" t="s">
        <v>23</v>
      </c>
      <c r="D159" t="s">
        <v>29</v>
      </c>
      <c r="E159" s="1">
        <v>43244</v>
      </c>
      <c r="F159" t="s">
        <v>19</v>
      </c>
      <c r="G159" t="str">
        <f ca="1">VLOOKUP(RAND(),{0,"Lucas";0.39,"Roberto";0.63,"Carla";0.78,"Pedro";0.93,"Emilly"},2,TRUE)</f>
        <v>Roberto</v>
      </c>
      <c r="H159">
        <v>1</v>
      </c>
      <c r="I159">
        <v>700</v>
      </c>
      <c r="J159">
        <v>0.4</v>
      </c>
      <c r="K159">
        <f>PRODUCT(TabelaVendas1__2[[#This Row],[Valor_UnitarioXQtd]],TabelaVendas1__2[[#This Row],[Percentual_Lucro]])</f>
        <v>280</v>
      </c>
      <c r="L159">
        <v>700</v>
      </c>
      <c r="M159">
        <f>PRODUCT(TabelaVendas1__2[[#This Row],[Quantidade]],TabelaVendas1__2[[#This Row],[Valor_Unitario]])</f>
        <v>700</v>
      </c>
      <c r="N159">
        <f>SUM(TabelaVendas1__2[[#This Row],[Valor_UnitarioXQtd]],TabelaVendas1__2[[#This Row],[Valor_Lucro]])</f>
        <v>980</v>
      </c>
      <c r="O159" s="2" t="s">
        <v>31</v>
      </c>
    </row>
    <row r="160" spans="1:15">
      <c r="A160" t="s">
        <v>141</v>
      </c>
      <c r="B160" t="s">
        <v>22</v>
      </c>
      <c r="C160" t="s">
        <v>23</v>
      </c>
      <c r="D160" t="s">
        <v>29</v>
      </c>
      <c r="E160" s="1">
        <v>43244</v>
      </c>
      <c r="F160" t="s">
        <v>30</v>
      </c>
      <c r="G160" t="str">
        <f ca="1">VLOOKUP(RAND(),{0,"Lucas";0.39,"Roberto";0.63,"Carla";0.78,"Pedro";0.93,"Emilly"},2,TRUE)</f>
        <v>Roberto</v>
      </c>
      <c r="H160">
        <v>1</v>
      </c>
      <c r="I160">
        <v>450</v>
      </c>
      <c r="J160">
        <v>0.4</v>
      </c>
      <c r="K160">
        <f>PRODUCT(TabelaVendas1__2[[#This Row],[Valor_UnitarioXQtd]],TabelaVendas1__2[[#This Row],[Percentual_Lucro]])</f>
        <v>180</v>
      </c>
      <c r="L160">
        <v>450</v>
      </c>
      <c r="M160">
        <f>PRODUCT(TabelaVendas1__2[[#This Row],[Quantidade]],TabelaVendas1__2[[#This Row],[Valor_Unitario]])</f>
        <v>450</v>
      </c>
      <c r="N160">
        <f>SUM(TabelaVendas1__2[[#This Row],[Valor_UnitarioXQtd]],TabelaVendas1__2[[#This Row],[Valor_Lucro]])</f>
        <v>630</v>
      </c>
      <c r="O160" s="2" t="s">
        <v>31</v>
      </c>
    </row>
    <row r="161" spans="1:15">
      <c r="A161" t="s">
        <v>60</v>
      </c>
      <c r="B161" t="s">
        <v>22</v>
      </c>
      <c r="C161" t="s">
        <v>23</v>
      </c>
      <c r="D161" t="s">
        <v>34</v>
      </c>
      <c r="E161" s="1">
        <v>43244</v>
      </c>
      <c r="F161" t="s">
        <v>27</v>
      </c>
      <c r="G161" t="str">
        <f ca="1">VLOOKUP(RAND(),{0,"Lucas";0.39,"Roberto";0.63,"Carla";0.78,"Pedro";0.93,"Emilly"},2,TRUE)</f>
        <v>Roberto</v>
      </c>
      <c r="H161">
        <v>1</v>
      </c>
      <c r="I161">
        <v>1700</v>
      </c>
      <c r="J161">
        <v>0.4</v>
      </c>
      <c r="K161">
        <f>PRODUCT(TabelaVendas1__2[[#This Row],[Valor_UnitarioXQtd]],TabelaVendas1__2[[#This Row],[Percentual_Lucro]])</f>
        <v>680</v>
      </c>
      <c r="L161">
        <v>1700</v>
      </c>
      <c r="M161">
        <f>PRODUCT(TabelaVendas1__2[[#This Row],[Quantidade]],TabelaVendas1__2[[#This Row],[Valor_Unitario]])</f>
        <v>1700</v>
      </c>
      <c r="N161">
        <f>SUM(TabelaVendas1__2[[#This Row],[Valor_UnitarioXQtd]],TabelaVendas1__2[[#This Row],[Valor_Lucro]])</f>
        <v>2380</v>
      </c>
      <c r="O161" s="2" t="s">
        <v>35</v>
      </c>
    </row>
    <row r="162" spans="1:15">
      <c r="A162" t="s">
        <v>74</v>
      </c>
      <c r="B162" t="s">
        <v>22</v>
      </c>
      <c r="C162" t="s">
        <v>23</v>
      </c>
      <c r="D162" t="s">
        <v>75</v>
      </c>
      <c r="E162" s="1">
        <v>43277</v>
      </c>
      <c r="F162" t="s">
        <v>27</v>
      </c>
      <c r="G162" t="str">
        <f ca="1">VLOOKUP(RAND(),{0,"Lucas";0.39,"Roberto";0.63,"Carla";0.78,"Pedro";0.93,"Emilly"},2,TRUE)</f>
        <v>Lucas</v>
      </c>
      <c r="H162">
        <v>2</v>
      </c>
      <c r="I162">
        <v>1750</v>
      </c>
      <c r="J162">
        <v>0.4</v>
      </c>
      <c r="K162">
        <f>PRODUCT(TabelaVendas1__2[[#This Row],[Valor_UnitarioXQtd]],TabelaVendas1__2[[#This Row],[Percentual_Lucro]])</f>
        <v>1400</v>
      </c>
      <c r="L162">
        <v>3500</v>
      </c>
      <c r="M162">
        <f>PRODUCT(TabelaVendas1__2[[#This Row],[Quantidade]],TabelaVendas1__2[[#This Row],[Valor_Unitario]])</f>
        <v>3500</v>
      </c>
      <c r="N162">
        <f>SUM(TabelaVendas1__2[[#This Row],[Valor_UnitarioXQtd]],TabelaVendas1__2[[#This Row],[Valor_Lucro]])</f>
        <v>4900</v>
      </c>
      <c r="O162" s="2" t="s">
        <v>76</v>
      </c>
    </row>
    <row r="163" spans="1:15">
      <c r="A163" t="s">
        <v>52</v>
      </c>
      <c r="B163" t="s">
        <v>22</v>
      </c>
      <c r="C163" t="s">
        <v>23</v>
      </c>
      <c r="D163" t="s">
        <v>18</v>
      </c>
      <c r="E163" s="1">
        <v>43277</v>
      </c>
      <c r="F163" t="s">
        <v>19</v>
      </c>
      <c r="G163" t="str">
        <f ca="1">VLOOKUP(RAND(),{0,"Lucas";0.39,"Roberto";0.63,"Carla";0.78,"Pedro";0.93,"Emilly"},2,TRUE)</f>
        <v>Roberto</v>
      </c>
      <c r="H163">
        <v>1</v>
      </c>
      <c r="I163">
        <v>1800</v>
      </c>
      <c r="J163">
        <v>0.4</v>
      </c>
      <c r="K163">
        <f>PRODUCT(TabelaVendas1__2[[#This Row],[Valor_UnitarioXQtd]],TabelaVendas1__2[[#This Row],[Percentual_Lucro]])</f>
        <v>720</v>
      </c>
      <c r="L163">
        <v>1800</v>
      </c>
      <c r="M163">
        <f>PRODUCT(TabelaVendas1__2[[#This Row],[Quantidade]],TabelaVendas1__2[[#This Row],[Valor_Unitario]])</f>
        <v>1800</v>
      </c>
      <c r="N163">
        <f>SUM(TabelaVendas1__2[[#This Row],[Valor_UnitarioXQtd]],TabelaVendas1__2[[#This Row],[Valor_Lucro]])</f>
        <v>2520</v>
      </c>
      <c r="O163" s="2" t="s">
        <v>20</v>
      </c>
    </row>
    <row r="164" spans="1:15">
      <c r="A164" t="s">
        <v>113</v>
      </c>
      <c r="B164" t="s">
        <v>22</v>
      </c>
      <c r="C164" t="s">
        <v>23</v>
      </c>
      <c r="D164" t="s">
        <v>18</v>
      </c>
      <c r="E164" s="1">
        <v>43277</v>
      </c>
      <c r="F164" t="s">
        <v>30</v>
      </c>
      <c r="G164" t="str">
        <f ca="1">VLOOKUP(RAND(),{0,"Lucas";0.39,"Roberto";0.63,"Carla";0.78,"Pedro";0.93,"Emilly"},2,TRUE)</f>
        <v>Roberto</v>
      </c>
      <c r="H164">
        <v>1</v>
      </c>
      <c r="I164">
        <v>700</v>
      </c>
      <c r="J164">
        <v>0.4</v>
      </c>
      <c r="K164">
        <f>PRODUCT(TabelaVendas1__2[[#This Row],[Valor_UnitarioXQtd]],TabelaVendas1__2[[#This Row],[Percentual_Lucro]])</f>
        <v>280</v>
      </c>
      <c r="L164">
        <v>700</v>
      </c>
      <c r="M164">
        <f>PRODUCT(TabelaVendas1__2[[#This Row],[Quantidade]],TabelaVendas1__2[[#This Row],[Valor_Unitario]])</f>
        <v>700</v>
      </c>
      <c r="N164">
        <f>SUM(TabelaVendas1__2[[#This Row],[Valor_UnitarioXQtd]],TabelaVendas1__2[[#This Row],[Valor_Lucro]])</f>
        <v>980</v>
      </c>
      <c r="O164" s="2" t="s">
        <v>20</v>
      </c>
    </row>
    <row r="165" spans="1:15">
      <c r="A165" t="s">
        <v>142</v>
      </c>
      <c r="B165" t="s">
        <v>22</v>
      </c>
      <c r="C165" t="s">
        <v>23</v>
      </c>
      <c r="D165" t="s">
        <v>29</v>
      </c>
      <c r="E165" s="1">
        <v>43277</v>
      </c>
      <c r="F165" t="s">
        <v>27</v>
      </c>
      <c r="G165" t="str">
        <f ca="1">VLOOKUP(RAND(),{0,"Lucas";0.39,"Roberto";0.63,"Carla";0.78,"Pedro";0.93,"Emilly"},2,TRUE)</f>
        <v>Lucas</v>
      </c>
      <c r="H165">
        <v>1</v>
      </c>
      <c r="I165">
        <v>350</v>
      </c>
      <c r="J165">
        <v>0.4</v>
      </c>
      <c r="K165">
        <f>PRODUCT(TabelaVendas1__2[[#This Row],[Valor_UnitarioXQtd]],TabelaVendas1__2[[#This Row],[Percentual_Lucro]])</f>
        <v>140</v>
      </c>
      <c r="L165">
        <v>350</v>
      </c>
      <c r="M165">
        <f>PRODUCT(TabelaVendas1__2[[#This Row],[Quantidade]],TabelaVendas1__2[[#This Row],[Valor_Unitario]])</f>
        <v>350</v>
      </c>
      <c r="N165">
        <f>SUM(TabelaVendas1__2[[#This Row],[Valor_UnitarioXQtd]],TabelaVendas1__2[[#This Row],[Valor_Lucro]])</f>
        <v>490</v>
      </c>
      <c r="O165" s="2" t="s">
        <v>31</v>
      </c>
    </row>
    <row r="166" spans="1:15">
      <c r="A166" t="s">
        <v>143</v>
      </c>
      <c r="B166" t="s">
        <v>22</v>
      </c>
      <c r="C166" t="s">
        <v>23</v>
      </c>
      <c r="D166" t="s">
        <v>29</v>
      </c>
      <c r="E166" s="1">
        <v>43277</v>
      </c>
      <c r="F166" t="s">
        <v>27</v>
      </c>
      <c r="G166" t="str">
        <f ca="1">VLOOKUP(RAND(),{0,"Lucas";0.39,"Roberto";0.63,"Carla";0.78,"Pedro";0.93,"Emilly"},2,TRUE)</f>
        <v>Pedro</v>
      </c>
      <c r="H166">
        <v>1</v>
      </c>
      <c r="I166">
        <v>1400</v>
      </c>
      <c r="J166">
        <v>0.4</v>
      </c>
      <c r="K166">
        <f>PRODUCT(TabelaVendas1__2[[#This Row],[Valor_UnitarioXQtd]],TabelaVendas1__2[[#This Row],[Percentual_Lucro]])</f>
        <v>560</v>
      </c>
      <c r="L166">
        <v>1400</v>
      </c>
      <c r="M166">
        <f>PRODUCT(TabelaVendas1__2[[#This Row],[Quantidade]],TabelaVendas1__2[[#This Row],[Valor_Unitario]])</f>
        <v>1400</v>
      </c>
      <c r="N166">
        <f>SUM(TabelaVendas1__2[[#This Row],[Valor_UnitarioXQtd]],TabelaVendas1__2[[#This Row],[Valor_Lucro]])</f>
        <v>1960</v>
      </c>
      <c r="O166" s="2" t="s">
        <v>31</v>
      </c>
    </row>
    <row r="167" spans="1:15">
      <c r="A167" t="s">
        <v>103</v>
      </c>
      <c r="B167" t="s">
        <v>22</v>
      </c>
      <c r="C167" t="s">
        <v>23</v>
      </c>
      <c r="D167" t="s">
        <v>18</v>
      </c>
      <c r="E167" s="1">
        <v>43297</v>
      </c>
      <c r="F167" t="s">
        <v>19</v>
      </c>
      <c r="G167" t="str">
        <f ca="1">VLOOKUP(RAND(),{0,"Lucas";0.39,"Roberto";0.63,"Carla";0.78,"Pedro";0.93,"Emilly"},2,TRUE)</f>
        <v>Roberto</v>
      </c>
      <c r="H167">
        <v>1</v>
      </c>
      <c r="I167">
        <v>2650</v>
      </c>
      <c r="J167">
        <v>0.4</v>
      </c>
      <c r="K167">
        <f>PRODUCT(TabelaVendas1__2[[#This Row],[Valor_UnitarioXQtd]],TabelaVendas1__2[[#This Row],[Percentual_Lucro]])</f>
        <v>1060</v>
      </c>
      <c r="L167">
        <v>2650</v>
      </c>
      <c r="M167">
        <f>PRODUCT(TabelaVendas1__2[[#This Row],[Quantidade]],TabelaVendas1__2[[#This Row],[Valor_Unitario]])</f>
        <v>2650</v>
      </c>
      <c r="N167">
        <f>SUM(TabelaVendas1__2[[#This Row],[Valor_UnitarioXQtd]],TabelaVendas1__2[[#This Row],[Valor_Lucro]])</f>
        <v>3710</v>
      </c>
      <c r="O167" s="2" t="s">
        <v>20</v>
      </c>
    </row>
    <row r="168" spans="1:15">
      <c r="A168" t="s">
        <v>144</v>
      </c>
      <c r="B168" t="s">
        <v>22</v>
      </c>
      <c r="C168" t="s">
        <v>23</v>
      </c>
      <c r="D168" t="s">
        <v>126</v>
      </c>
      <c r="E168" s="1">
        <v>43297</v>
      </c>
      <c r="F168" t="s">
        <v>19</v>
      </c>
      <c r="G168" t="str">
        <f ca="1">VLOOKUP(RAND(),{0,"Lucas";0.39,"Roberto";0.63,"Carla";0.78,"Pedro";0.93,"Emilly"},2,TRUE)</f>
        <v>Lucas</v>
      </c>
      <c r="H168">
        <v>1</v>
      </c>
      <c r="I168">
        <v>1700</v>
      </c>
      <c r="J168">
        <v>0.4</v>
      </c>
      <c r="K168">
        <f>PRODUCT(TabelaVendas1__2[[#This Row],[Valor_UnitarioXQtd]],TabelaVendas1__2[[#This Row],[Percentual_Lucro]])</f>
        <v>680</v>
      </c>
      <c r="L168">
        <v>1700</v>
      </c>
      <c r="M168">
        <f>PRODUCT(TabelaVendas1__2[[#This Row],[Quantidade]],TabelaVendas1__2[[#This Row],[Valor_Unitario]])</f>
        <v>1700</v>
      </c>
      <c r="N168">
        <f>SUM(TabelaVendas1__2[[#This Row],[Valor_UnitarioXQtd]],TabelaVendas1__2[[#This Row],[Valor_Lucro]])</f>
        <v>2380</v>
      </c>
      <c r="O168" s="2" t="s">
        <v>127</v>
      </c>
    </row>
    <row r="169" spans="1:15">
      <c r="A169" t="s">
        <v>145</v>
      </c>
      <c r="B169" t="s">
        <v>22</v>
      </c>
      <c r="C169" t="s">
        <v>23</v>
      </c>
      <c r="D169" t="s">
        <v>146</v>
      </c>
      <c r="E169" s="1">
        <v>43297</v>
      </c>
      <c r="F169" t="s">
        <v>19</v>
      </c>
      <c r="G169" t="str">
        <f ca="1">VLOOKUP(RAND(),{0,"Lucas";0.39,"Roberto";0.63,"Carla";0.78,"Pedro";0.93,"Emilly"},2,TRUE)</f>
        <v>Lucas</v>
      </c>
      <c r="H169">
        <v>1</v>
      </c>
      <c r="I169">
        <v>6000</v>
      </c>
      <c r="J169">
        <v>0.4</v>
      </c>
      <c r="K169">
        <f>PRODUCT(TabelaVendas1__2[[#This Row],[Valor_UnitarioXQtd]],TabelaVendas1__2[[#This Row],[Percentual_Lucro]])</f>
        <v>2400</v>
      </c>
      <c r="L169">
        <v>6000</v>
      </c>
      <c r="M169">
        <f>PRODUCT(TabelaVendas1__2[[#This Row],[Quantidade]],TabelaVendas1__2[[#This Row],[Valor_Unitario]])</f>
        <v>6000</v>
      </c>
      <c r="N169">
        <f>SUM(TabelaVendas1__2[[#This Row],[Valor_UnitarioXQtd]],TabelaVendas1__2[[#This Row],[Valor_Lucro]])</f>
        <v>8400</v>
      </c>
      <c r="O169" s="2" t="s">
        <v>147</v>
      </c>
    </row>
    <row r="170" spans="1:15">
      <c r="A170" t="s">
        <v>148</v>
      </c>
      <c r="B170" t="s">
        <v>22</v>
      </c>
      <c r="C170" t="s">
        <v>23</v>
      </c>
      <c r="D170" t="s">
        <v>34</v>
      </c>
      <c r="E170" s="1">
        <v>43297</v>
      </c>
      <c r="F170" t="s">
        <v>27</v>
      </c>
      <c r="G170" t="str">
        <f ca="1">VLOOKUP(RAND(),{0,"Lucas";0.39,"Roberto";0.63,"Carla";0.78,"Pedro";0.93,"Emilly"},2,TRUE)</f>
        <v>Roberto</v>
      </c>
      <c r="H170">
        <v>1</v>
      </c>
      <c r="I170">
        <v>1050</v>
      </c>
      <c r="J170">
        <v>0.4</v>
      </c>
      <c r="K170">
        <f>PRODUCT(TabelaVendas1__2[[#This Row],[Valor_UnitarioXQtd]],TabelaVendas1__2[[#This Row],[Percentual_Lucro]])</f>
        <v>420</v>
      </c>
      <c r="L170">
        <v>1050</v>
      </c>
      <c r="M170">
        <f>PRODUCT(TabelaVendas1__2[[#This Row],[Quantidade]],TabelaVendas1__2[[#This Row],[Valor_Unitario]])</f>
        <v>1050</v>
      </c>
      <c r="N170">
        <f>SUM(TabelaVendas1__2[[#This Row],[Valor_UnitarioXQtd]],TabelaVendas1__2[[#This Row],[Valor_Lucro]])</f>
        <v>1470</v>
      </c>
      <c r="O170" s="2" t="s">
        <v>35</v>
      </c>
    </row>
    <row r="171" spans="1:15">
      <c r="A171" t="s">
        <v>91</v>
      </c>
      <c r="B171" t="s">
        <v>22</v>
      </c>
      <c r="C171" t="s">
        <v>23</v>
      </c>
      <c r="D171" t="s">
        <v>18</v>
      </c>
      <c r="E171" s="1">
        <v>43314</v>
      </c>
      <c r="F171" t="s">
        <v>19</v>
      </c>
      <c r="G171" t="str">
        <f ca="1">VLOOKUP(RAND(),{0,"Lucas";0.39,"Roberto";0.63,"Carla";0.78,"Pedro";0.93,"Emilly"},2,TRUE)</f>
        <v>Carla</v>
      </c>
      <c r="H171">
        <v>1</v>
      </c>
      <c r="I171">
        <v>2100</v>
      </c>
      <c r="J171">
        <v>0.4</v>
      </c>
      <c r="K171">
        <f>PRODUCT(TabelaVendas1__2[[#This Row],[Valor_UnitarioXQtd]],TabelaVendas1__2[[#This Row],[Percentual_Lucro]])</f>
        <v>840</v>
      </c>
      <c r="L171">
        <v>2100</v>
      </c>
      <c r="M171">
        <f>PRODUCT(TabelaVendas1__2[[#This Row],[Quantidade]],TabelaVendas1__2[[#This Row],[Valor_Unitario]])</f>
        <v>2100</v>
      </c>
      <c r="N171">
        <f>SUM(TabelaVendas1__2[[#This Row],[Valor_UnitarioXQtd]],TabelaVendas1__2[[#This Row],[Valor_Lucro]])</f>
        <v>2940</v>
      </c>
      <c r="O171" s="2" t="s">
        <v>20</v>
      </c>
    </row>
    <row r="172" spans="1:15">
      <c r="A172" t="s">
        <v>125</v>
      </c>
      <c r="B172" t="s">
        <v>22</v>
      </c>
      <c r="C172" t="s">
        <v>23</v>
      </c>
      <c r="D172" t="s">
        <v>126</v>
      </c>
      <c r="E172" s="1">
        <v>43314</v>
      </c>
      <c r="F172" t="s">
        <v>27</v>
      </c>
      <c r="G172" t="str">
        <f ca="1">VLOOKUP(RAND(),{0,"Lucas";0.39,"Roberto";0.63,"Carla";0.78,"Pedro";0.93,"Emilly"},2,TRUE)</f>
        <v>Pedro</v>
      </c>
      <c r="H172">
        <v>1</v>
      </c>
      <c r="I172">
        <v>700</v>
      </c>
      <c r="J172">
        <v>0.4</v>
      </c>
      <c r="K172">
        <f>PRODUCT(TabelaVendas1__2[[#This Row],[Valor_UnitarioXQtd]],TabelaVendas1__2[[#This Row],[Percentual_Lucro]])</f>
        <v>280</v>
      </c>
      <c r="L172">
        <v>700</v>
      </c>
      <c r="M172">
        <f>PRODUCT(TabelaVendas1__2[[#This Row],[Quantidade]],TabelaVendas1__2[[#This Row],[Valor_Unitario]])</f>
        <v>700</v>
      </c>
      <c r="N172">
        <f>SUM(TabelaVendas1__2[[#This Row],[Valor_UnitarioXQtd]],TabelaVendas1__2[[#This Row],[Valor_Lucro]])</f>
        <v>980</v>
      </c>
      <c r="O172" s="2" t="s">
        <v>127</v>
      </c>
    </row>
    <row r="173" spans="1:15">
      <c r="A173" t="s">
        <v>102</v>
      </c>
      <c r="B173" t="s">
        <v>22</v>
      </c>
      <c r="C173" t="s">
        <v>23</v>
      </c>
      <c r="D173" t="s">
        <v>75</v>
      </c>
      <c r="E173" s="1">
        <v>43342</v>
      </c>
      <c r="F173" t="s">
        <v>30</v>
      </c>
      <c r="G173" t="str">
        <f ca="1">VLOOKUP(RAND(),{0,"Lucas";0.39,"Roberto";0.63,"Carla";0.78,"Pedro";0.93,"Emilly"},2,TRUE)</f>
        <v>Lucas</v>
      </c>
      <c r="H173">
        <v>2</v>
      </c>
      <c r="I173">
        <v>1250</v>
      </c>
      <c r="J173">
        <v>0.4</v>
      </c>
      <c r="K173">
        <f>PRODUCT(TabelaVendas1__2[[#This Row],[Valor_UnitarioXQtd]],TabelaVendas1__2[[#This Row],[Percentual_Lucro]])</f>
        <v>1000</v>
      </c>
      <c r="L173">
        <v>2500</v>
      </c>
      <c r="M173">
        <f>PRODUCT(TabelaVendas1__2[[#This Row],[Quantidade]],TabelaVendas1__2[[#This Row],[Valor_Unitario]])</f>
        <v>2500</v>
      </c>
      <c r="N173">
        <f>SUM(TabelaVendas1__2[[#This Row],[Valor_UnitarioXQtd]],TabelaVendas1__2[[#This Row],[Valor_Lucro]])</f>
        <v>3500</v>
      </c>
      <c r="O173" s="2" t="s">
        <v>76</v>
      </c>
    </row>
    <row r="174" spans="1:15">
      <c r="A174" t="s">
        <v>93</v>
      </c>
      <c r="B174" t="s">
        <v>22</v>
      </c>
      <c r="C174" t="s">
        <v>23</v>
      </c>
      <c r="D174" t="s">
        <v>34</v>
      </c>
      <c r="E174" s="1">
        <v>43342</v>
      </c>
      <c r="F174" t="s">
        <v>30</v>
      </c>
      <c r="G174" t="str">
        <f ca="1">VLOOKUP(RAND(),{0,"Lucas";0.39,"Roberto";0.63,"Carla";0.78,"Pedro";0.93,"Emilly"},2,TRUE)</f>
        <v>Roberto</v>
      </c>
      <c r="H174">
        <v>1</v>
      </c>
      <c r="I174">
        <v>2300</v>
      </c>
      <c r="J174">
        <v>0.4</v>
      </c>
      <c r="K174">
        <f>PRODUCT(TabelaVendas1__2[[#This Row],[Valor_UnitarioXQtd]],TabelaVendas1__2[[#This Row],[Percentual_Lucro]])</f>
        <v>920</v>
      </c>
      <c r="L174">
        <v>2300</v>
      </c>
      <c r="M174">
        <f>PRODUCT(TabelaVendas1__2[[#This Row],[Quantidade]],TabelaVendas1__2[[#This Row],[Valor_Unitario]])</f>
        <v>2300</v>
      </c>
      <c r="N174">
        <f>SUM(TabelaVendas1__2[[#This Row],[Valor_UnitarioXQtd]],TabelaVendas1__2[[#This Row],[Valor_Lucro]])</f>
        <v>3220</v>
      </c>
      <c r="O174" s="2" t="s">
        <v>35</v>
      </c>
    </row>
    <row r="175" spans="1:15">
      <c r="A175" t="s">
        <v>149</v>
      </c>
      <c r="B175" t="s">
        <v>22</v>
      </c>
      <c r="C175" t="s">
        <v>23</v>
      </c>
      <c r="D175" t="s">
        <v>34</v>
      </c>
      <c r="E175" s="1">
        <v>43342</v>
      </c>
      <c r="F175" t="s">
        <v>19</v>
      </c>
      <c r="G175" t="str">
        <f ca="1">VLOOKUP(RAND(),{0,"Lucas";0.39,"Roberto";0.63,"Carla";0.78,"Pedro";0.93,"Emilly"},2,TRUE)</f>
        <v>Roberto</v>
      </c>
      <c r="H175">
        <v>1</v>
      </c>
      <c r="I175">
        <v>1800</v>
      </c>
      <c r="J175">
        <v>0.4</v>
      </c>
      <c r="K175">
        <f>PRODUCT(TabelaVendas1__2[[#This Row],[Valor_UnitarioXQtd]],TabelaVendas1__2[[#This Row],[Percentual_Lucro]])</f>
        <v>720</v>
      </c>
      <c r="L175">
        <v>1800</v>
      </c>
      <c r="M175">
        <f>PRODUCT(TabelaVendas1__2[[#This Row],[Quantidade]],TabelaVendas1__2[[#This Row],[Valor_Unitario]])</f>
        <v>1800</v>
      </c>
      <c r="N175">
        <f>SUM(TabelaVendas1__2[[#This Row],[Valor_UnitarioXQtd]],TabelaVendas1__2[[#This Row],[Valor_Lucro]])</f>
        <v>2520</v>
      </c>
      <c r="O175" s="2" t="s">
        <v>35</v>
      </c>
    </row>
    <row r="176" spans="1:15">
      <c r="A176" t="s">
        <v>46</v>
      </c>
      <c r="B176" t="s">
        <v>22</v>
      </c>
      <c r="C176" t="s">
        <v>23</v>
      </c>
      <c r="D176" t="s">
        <v>47</v>
      </c>
      <c r="E176" s="1">
        <v>43342</v>
      </c>
      <c r="F176" t="s">
        <v>27</v>
      </c>
      <c r="G176" t="str">
        <f ca="1">VLOOKUP(RAND(),{0,"Lucas";0.39,"Roberto";0.63,"Carla";0.78,"Pedro";0.93,"Emilly"},2,TRUE)</f>
        <v>Emilly</v>
      </c>
      <c r="H176">
        <v>1</v>
      </c>
      <c r="I176">
        <v>3200</v>
      </c>
      <c r="J176">
        <v>0.4</v>
      </c>
      <c r="K176">
        <f>PRODUCT(TabelaVendas1__2[[#This Row],[Valor_UnitarioXQtd]],TabelaVendas1__2[[#This Row],[Percentual_Lucro]])</f>
        <v>1280</v>
      </c>
      <c r="L176">
        <v>3200</v>
      </c>
      <c r="M176">
        <f>PRODUCT(TabelaVendas1__2[[#This Row],[Quantidade]],TabelaVendas1__2[[#This Row],[Valor_Unitario]])</f>
        <v>3200</v>
      </c>
      <c r="N176">
        <f>SUM(TabelaVendas1__2[[#This Row],[Valor_UnitarioXQtd]],TabelaVendas1__2[[#This Row],[Valor_Lucro]])</f>
        <v>4480</v>
      </c>
      <c r="O176" s="2" t="s">
        <v>48</v>
      </c>
    </row>
    <row r="177" spans="1:15">
      <c r="A177" t="s">
        <v>81</v>
      </c>
      <c r="B177" t="s">
        <v>22</v>
      </c>
      <c r="C177" t="s">
        <v>23</v>
      </c>
      <c r="D177" t="s">
        <v>75</v>
      </c>
      <c r="E177" s="1">
        <v>43377</v>
      </c>
      <c r="F177" t="s">
        <v>30</v>
      </c>
      <c r="G177" t="str">
        <f ca="1">VLOOKUP(RAND(),{0,"Lucas";0.39,"Roberto";0.63,"Carla";0.78,"Pedro";0.93,"Emilly"},2,TRUE)</f>
        <v>Lucas</v>
      </c>
      <c r="H177">
        <v>2</v>
      </c>
      <c r="I177">
        <v>2200</v>
      </c>
      <c r="J177">
        <v>0.4</v>
      </c>
      <c r="K177">
        <f>PRODUCT(TabelaVendas1__2[[#This Row],[Valor_UnitarioXQtd]],TabelaVendas1__2[[#This Row],[Percentual_Lucro]])</f>
        <v>1760</v>
      </c>
      <c r="L177">
        <v>4400</v>
      </c>
      <c r="M177">
        <f>PRODUCT(TabelaVendas1__2[[#This Row],[Quantidade]],TabelaVendas1__2[[#This Row],[Valor_Unitario]])</f>
        <v>4400</v>
      </c>
      <c r="N177">
        <f>SUM(TabelaVendas1__2[[#This Row],[Valor_UnitarioXQtd]],TabelaVendas1__2[[#This Row],[Valor_Lucro]])</f>
        <v>6160</v>
      </c>
      <c r="O177" s="2" t="s">
        <v>76</v>
      </c>
    </row>
    <row r="178" spans="1:15">
      <c r="A178" t="s">
        <v>41</v>
      </c>
      <c r="B178" t="s">
        <v>22</v>
      </c>
      <c r="C178" t="s">
        <v>23</v>
      </c>
      <c r="D178" t="s">
        <v>42</v>
      </c>
      <c r="E178" s="1">
        <v>43377</v>
      </c>
      <c r="F178" t="s">
        <v>30</v>
      </c>
      <c r="G178" t="str">
        <f ca="1">VLOOKUP(RAND(),{0,"Lucas";0.39,"Roberto";0.63,"Carla";0.78,"Pedro";0.93,"Emilly"},2,TRUE)</f>
        <v>Carla</v>
      </c>
      <c r="H178">
        <v>3</v>
      </c>
      <c r="I178">
        <v>1200</v>
      </c>
      <c r="J178">
        <v>0.4</v>
      </c>
      <c r="K178">
        <f>PRODUCT(TabelaVendas1__2[[#This Row],[Valor_UnitarioXQtd]],TabelaVendas1__2[[#This Row],[Percentual_Lucro]])</f>
        <v>1440</v>
      </c>
      <c r="L178">
        <v>3600</v>
      </c>
      <c r="M178">
        <f>PRODUCT(TabelaVendas1__2[[#This Row],[Quantidade]],TabelaVendas1__2[[#This Row],[Valor_Unitario]])</f>
        <v>3600</v>
      </c>
      <c r="N178">
        <f>SUM(TabelaVendas1__2[[#This Row],[Valor_UnitarioXQtd]],TabelaVendas1__2[[#This Row],[Valor_Lucro]])</f>
        <v>5040</v>
      </c>
      <c r="O178" s="2" t="s">
        <v>43</v>
      </c>
    </row>
    <row r="179" spans="1:15">
      <c r="A179" t="s">
        <v>44</v>
      </c>
      <c r="B179" t="s">
        <v>16</v>
      </c>
      <c r="C179" t="s">
        <v>17</v>
      </c>
      <c r="D179" t="s">
        <v>42</v>
      </c>
      <c r="E179" s="1">
        <v>43377</v>
      </c>
      <c r="F179" t="s">
        <v>30</v>
      </c>
      <c r="G179" t="str">
        <f ca="1">VLOOKUP(RAND(),{0,"Lucas";0.39,"Roberto";0.63,"Carla";0.78,"Pedro";0.93,"Emilly"},2,TRUE)</f>
        <v>Lucas</v>
      </c>
      <c r="H179">
        <v>1</v>
      </c>
      <c r="I179">
        <v>1100</v>
      </c>
      <c r="J179">
        <v>0.4</v>
      </c>
      <c r="K179">
        <f>PRODUCT(TabelaVendas1__2[[#This Row],[Valor_UnitarioXQtd]],TabelaVendas1__2[[#This Row],[Percentual_Lucro]])</f>
        <v>440</v>
      </c>
      <c r="L179">
        <v>1100</v>
      </c>
      <c r="M179">
        <f>PRODUCT(TabelaVendas1__2[[#This Row],[Quantidade]],TabelaVendas1__2[[#This Row],[Valor_Unitario]])</f>
        <v>1100</v>
      </c>
      <c r="N179">
        <f>SUM(TabelaVendas1__2[[#This Row],[Valor_UnitarioXQtd]],TabelaVendas1__2[[#This Row],[Valor_Lucro]])</f>
        <v>1540</v>
      </c>
      <c r="O179" s="2" t="s">
        <v>43</v>
      </c>
    </row>
    <row r="180" spans="1:15">
      <c r="A180" t="s">
        <v>150</v>
      </c>
      <c r="B180" t="s">
        <v>22</v>
      </c>
      <c r="C180" t="s">
        <v>33</v>
      </c>
      <c r="D180" t="s">
        <v>121</v>
      </c>
      <c r="E180" s="1">
        <v>43377</v>
      </c>
      <c r="F180" t="s">
        <v>27</v>
      </c>
      <c r="G180" t="str">
        <f ca="1">VLOOKUP(RAND(),{0,"Lucas";0.39,"Roberto";0.63,"Carla";0.78,"Pedro";0.93,"Emilly"},2,TRUE)</f>
        <v>Pedro</v>
      </c>
      <c r="H180">
        <v>1</v>
      </c>
      <c r="I180">
        <v>1200</v>
      </c>
      <c r="J180">
        <v>0.4</v>
      </c>
      <c r="K180">
        <f>PRODUCT(TabelaVendas1__2[[#This Row],[Valor_UnitarioXQtd]],TabelaVendas1__2[[#This Row],[Percentual_Lucro]])</f>
        <v>480</v>
      </c>
      <c r="L180">
        <v>1200</v>
      </c>
      <c r="M180">
        <f>PRODUCT(TabelaVendas1__2[[#This Row],[Quantidade]],TabelaVendas1__2[[#This Row],[Valor_Unitario]])</f>
        <v>1200</v>
      </c>
      <c r="N180">
        <f>SUM(TabelaVendas1__2[[#This Row],[Valor_UnitarioXQtd]],TabelaVendas1__2[[#This Row],[Valor_Lucro]])</f>
        <v>1680</v>
      </c>
      <c r="O180" s="2" t="s">
        <v>122</v>
      </c>
    </row>
    <row r="181" spans="1:15">
      <c r="A181" t="s">
        <v>151</v>
      </c>
      <c r="B181" t="s">
        <v>22</v>
      </c>
      <c r="C181" t="s">
        <v>33</v>
      </c>
      <c r="D181" t="s">
        <v>121</v>
      </c>
      <c r="E181" s="1">
        <v>43377</v>
      </c>
      <c r="F181" t="s">
        <v>30</v>
      </c>
      <c r="G181" t="str">
        <f ca="1">VLOOKUP(RAND(),{0,"Lucas";0.39,"Roberto";0.63,"Carla";0.78,"Pedro";0.93,"Emilly"},2,TRUE)</f>
        <v>Pedro</v>
      </c>
      <c r="H181">
        <v>1</v>
      </c>
      <c r="I181">
        <v>650</v>
      </c>
      <c r="J181">
        <v>0.4</v>
      </c>
      <c r="K181">
        <f>PRODUCT(TabelaVendas1__2[[#This Row],[Valor_UnitarioXQtd]],TabelaVendas1__2[[#This Row],[Percentual_Lucro]])</f>
        <v>260</v>
      </c>
      <c r="L181">
        <v>650</v>
      </c>
      <c r="M181">
        <f>PRODUCT(TabelaVendas1__2[[#This Row],[Quantidade]],TabelaVendas1__2[[#This Row],[Valor_Unitario]])</f>
        <v>650</v>
      </c>
      <c r="N181">
        <f>SUM(TabelaVendas1__2[[#This Row],[Valor_UnitarioXQtd]],TabelaVendas1__2[[#This Row],[Valor_Lucro]])</f>
        <v>910</v>
      </c>
      <c r="O181" s="2" t="s">
        <v>122</v>
      </c>
    </row>
    <row r="182" spans="1:15">
      <c r="A182" t="s">
        <v>152</v>
      </c>
      <c r="B182" t="s">
        <v>22</v>
      </c>
      <c r="C182" t="s">
        <v>33</v>
      </c>
      <c r="D182" t="s">
        <v>34</v>
      </c>
      <c r="E182" s="1">
        <v>43377</v>
      </c>
      <c r="F182" t="s">
        <v>30</v>
      </c>
      <c r="G182" t="str">
        <f ca="1">VLOOKUP(RAND(),{0,"Lucas";0.39,"Roberto";0.63,"Carla";0.78,"Pedro";0.93,"Emilly"},2,TRUE)</f>
        <v>Lucas</v>
      </c>
      <c r="H182">
        <v>1</v>
      </c>
      <c r="I182">
        <v>1400</v>
      </c>
      <c r="J182">
        <v>0.4</v>
      </c>
      <c r="K182">
        <f>PRODUCT(TabelaVendas1__2[[#This Row],[Valor_UnitarioXQtd]],TabelaVendas1__2[[#This Row],[Percentual_Lucro]])</f>
        <v>560</v>
      </c>
      <c r="L182">
        <v>1400</v>
      </c>
      <c r="M182">
        <f>PRODUCT(TabelaVendas1__2[[#This Row],[Quantidade]],TabelaVendas1__2[[#This Row],[Valor_Unitario]])</f>
        <v>1400</v>
      </c>
      <c r="N182">
        <f>SUM(TabelaVendas1__2[[#This Row],[Valor_UnitarioXQtd]],TabelaVendas1__2[[#This Row],[Valor_Lucro]])</f>
        <v>1960</v>
      </c>
      <c r="O182" s="2" t="s">
        <v>35</v>
      </c>
    </row>
    <row r="183" spans="1:15">
      <c r="A183" t="s">
        <v>153</v>
      </c>
      <c r="B183" t="s">
        <v>22</v>
      </c>
      <c r="C183" t="s">
        <v>23</v>
      </c>
      <c r="D183" t="s">
        <v>42</v>
      </c>
      <c r="E183" s="1">
        <v>43398</v>
      </c>
      <c r="F183" t="s">
        <v>19</v>
      </c>
      <c r="G183" t="str">
        <f ca="1">VLOOKUP(RAND(),{0,"Lucas";0.39,"Roberto";0.63,"Carla";0.78,"Pedro";0.93,"Emilly"},2,TRUE)</f>
        <v>Lucas</v>
      </c>
      <c r="H183">
        <v>1</v>
      </c>
      <c r="I183">
        <v>550</v>
      </c>
      <c r="J183">
        <v>0.4</v>
      </c>
      <c r="K183">
        <f>PRODUCT(TabelaVendas1__2[[#This Row],[Valor_UnitarioXQtd]],TabelaVendas1__2[[#This Row],[Percentual_Lucro]])</f>
        <v>220</v>
      </c>
      <c r="L183">
        <v>550</v>
      </c>
      <c r="M183">
        <f>PRODUCT(TabelaVendas1__2[[#This Row],[Quantidade]],TabelaVendas1__2[[#This Row],[Valor_Unitario]])</f>
        <v>550</v>
      </c>
      <c r="N183">
        <f>SUM(TabelaVendas1__2[[#This Row],[Valor_UnitarioXQtd]],TabelaVendas1__2[[#This Row],[Valor_Lucro]])</f>
        <v>770</v>
      </c>
      <c r="O183" s="2" t="s">
        <v>43</v>
      </c>
    </row>
    <row r="184" spans="1:15">
      <c r="A184" t="s">
        <v>41</v>
      </c>
      <c r="B184" t="s">
        <v>22</v>
      </c>
      <c r="C184" t="s">
        <v>23</v>
      </c>
      <c r="D184" t="s">
        <v>42</v>
      </c>
      <c r="E184" s="1">
        <v>43398</v>
      </c>
      <c r="F184" t="s">
        <v>27</v>
      </c>
      <c r="G184" t="str">
        <f ca="1">VLOOKUP(RAND(),{0,"Lucas";0.39,"Roberto";0.63,"Carla";0.78,"Pedro";0.93,"Emilly"},2,TRUE)</f>
        <v>Carla</v>
      </c>
      <c r="H184">
        <v>1</v>
      </c>
      <c r="I184">
        <v>900</v>
      </c>
      <c r="J184">
        <v>0.4</v>
      </c>
      <c r="K184">
        <f>PRODUCT(TabelaVendas1__2[[#This Row],[Valor_UnitarioXQtd]],TabelaVendas1__2[[#This Row],[Percentual_Lucro]])</f>
        <v>360</v>
      </c>
      <c r="L184">
        <v>900</v>
      </c>
      <c r="M184">
        <f>PRODUCT(TabelaVendas1__2[[#This Row],[Quantidade]],TabelaVendas1__2[[#This Row],[Valor_Unitario]])</f>
        <v>900</v>
      </c>
      <c r="N184">
        <f>SUM(TabelaVendas1__2[[#This Row],[Valor_UnitarioXQtd]],TabelaVendas1__2[[#This Row],[Valor_Lucro]])</f>
        <v>1260</v>
      </c>
      <c r="O184" s="2" t="s">
        <v>43</v>
      </c>
    </row>
    <row r="185" spans="1:15">
      <c r="A185" t="s">
        <v>154</v>
      </c>
      <c r="B185" t="s">
        <v>22</v>
      </c>
      <c r="C185" t="s">
        <v>23</v>
      </c>
      <c r="D185" t="s">
        <v>42</v>
      </c>
      <c r="E185" s="1">
        <v>43398</v>
      </c>
      <c r="F185" t="s">
        <v>27</v>
      </c>
      <c r="G185" t="str">
        <f ca="1">VLOOKUP(RAND(),{0,"Lucas";0.39,"Roberto";0.63,"Carla";0.78,"Pedro";0.93,"Emilly"},2,TRUE)</f>
        <v>Lucas</v>
      </c>
      <c r="H185">
        <v>1</v>
      </c>
      <c r="I185">
        <v>590</v>
      </c>
      <c r="J185">
        <v>0.4</v>
      </c>
      <c r="K185">
        <f>PRODUCT(TabelaVendas1__2[[#This Row],[Valor_UnitarioXQtd]],TabelaVendas1__2[[#This Row],[Percentual_Lucro]])</f>
        <v>236</v>
      </c>
      <c r="L185">
        <v>590</v>
      </c>
      <c r="M185">
        <f>PRODUCT(TabelaVendas1__2[[#This Row],[Quantidade]],TabelaVendas1__2[[#This Row],[Valor_Unitario]])</f>
        <v>590</v>
      </c>
      <c r="N185">
        <f>SUM(TabelaVendas1__2[[#This Row],[Valor_UnitarioXQtd]],TabelaVendas1__2[[#This Row],[Valor_Lucro]])</f>
        <v>826</v>
      </c>
      <c r="O185" s="2" t="s">
        <v>43</v>
      </c>
    </row>
    <row r="186" spans="1:15">
      <c r="A186" t="s">
        <v>155</v>
      </c>
      <c r="B186" t="s">
        <v>16</v>
      </c>
      <c r="C186" t="s">
        <v>17</v>
      </c>
      <c r="D186" t="s">
        <v>97</v>
      </c>
      <c r="E186" s="1">
        <v>43398</v>
      </c>
      <c r="F186" t="s">
        <v>30</v>
      </c>
      <c r="G186" t="str">
        <f ca="1">VLOOKUP(RAND(),{0,"Lucas";0.39,"Roberto";0.63,"Carla";0.78,"Pedro";0.93,"Emilly"},2,TRUE)</f>
        <v>Pedro</v>
      </c>
      <c r="H186">
        <v>1</v>
      </c>
      <c r="I186">
        <v>200</v>
      </c>
      <c r="J186">
        <v>0.4</v>
      </c>
      <c r="K186">
        <f>PRODUCT(TabelaVendas1__2[[#This Row],[Valor_UnitarioXQtd]],TabelaVendas1__2[[#This Row],[Percentual_Lucro]])</f>
        <v>80</v>
      </c>
      <c r="L186">
        <v>200</v>
      </c>
      <c r="M186">
        <f>PRODUCT(TabelaVendas1__2[[#This Row],[Quantidade]],TabelaVendas1__2[[#This Row],[Valor_Unitario]])</f>
        <v>200</v>
      </c>
      <c r="N186">
        <f>SUM(TabelaVendas1__2[[#This Row],[Valor_UnitarioXQtd]],TabelaVendas1__2[[#This Row],[Valor_Lucro]])</f>
        <v>280</v>
      </c>
      <c r="O186" s="2" t="s">
        <v>98</v>
      </c>
    </row>
    <row r="187" spans="1:15">
      <c r="A187" t="s">
        <v>156</v>
      </c>
      <c r="B187" t="s">
        <v>22</v>
      </c>
      <c r="C187" t="s">
        <v>23</v>
      </c>
      <c r="D187" t="s">
        <v>97</v>
      </c>
      <c r="E187" s="1">
        <v>43398</v>
      </c>
      <c r="F187" t="s">
        <v>27</v>
      </c>
      <c r="G187" t="str">
        <f ca="1">VLOOKUP(RAND(),{0,"Lucas";0.39,"Roberto";0.63,"Carla";0.78,"Pedro";0.93,"Emilly"},2,TRUE)</f>
        <v>Lucas</v>
      </c>
      <c r="H187">
        <v>1</v>
      </c>
      <c r="I187">
        <v>600</v>
      </c>
      <c r="J187">
        <v>0.4</v>
      </c>
      <c r="K187">
        <f>PRODUCT(TabelaVendas1__2[[#This Row],[Valor_UnitarioXQtd]],TabelaVendas1__2[[#This Row],[Percentual_Lucro]])</f>
        <v>240</v>
      </c>
      <c r="L187">
        <v>600</v>
      </c>
      <c r="M187">
        <f>PRODUCT(TabelaVendas1__2[[#This Row],[Quantidade]],TabelaVendas1__2[[#This Row],[Valor_Unitario]])</f>
        <v>600</v>
      </c>
      <c r="N187">
        <f>SUM(TabelaVendas1__2[[#This Row],[Valor_UnitarioXQtd]],TabelaVendas1__2[[#This Row],[Valor_Lucro]])</f>
        <v>840</v>
      </c>
      <c r="O187" s="2" t="s">
        <v>98</v>
      </c>
    </row>
    <row r="188" spans="1:15">
      <c r="A188" t="s">
        <v>157</v>
      </c>
      <c r="B188" t="s">
        <v>22</v>
      </c>
      <c r="C188" t="s">
        <v>23</v>
      </c>
      <c r="D188" t="s">
        <v>18</v>
      </c>
      <c r="E188" s="1">
        <v>43398</v>
      </c>
      <c r="F188" t="s">
        <v>30</v>
      </c>
      <c r="G188" t="str">
        <f ca="1">VLOOKUP(RAND(),{0,"Lucas";0.39,"Roberto";0.63,"Carla";0.78,"Pedro";0.93,"Emilly"},2,TRUE)</f>
        <v>Roberto</v>
      </c>
      <c r="H188">
        <v>1</v>
      </c>
      <c r="I188">
        <v>1050</v>
      </c>
      <c r="J188">
        <v>0.4</v>
      </c>
      <c r="K188">
        <f>PRODUCT(TabelaVendas1__2[[#This Row],[Valor_UnitarioXQtd]],TabelaVendas1__2[[#This Row],[Percentual_Lucro]])</f>
        <v>420</v>
      </c>
      <c r="L188">
        <v>1050</v>
      </c>
      <c r="M188">
        <f>PRODUCT(TabelaVendas1__2[[#This Row],[Quantidade]],TabelaVendas1__2[[#This Row],[Valor_Unitario]])</f>
        <v>1050</v>
      </c>
      <c r="N188">
        <f>SUM(TabelaVendas1__2[[#This Row],[Valor_UnitarioXQtd]],TabelaVendas1__2[[#This Row],[Valor_Lucro]])</f>
        <v>1470</v>
      </c>
      <c r="O188" s="2" t="s">
        <v>20</v>
      </c>
    </row>
    <row r="189" spans="1:15">
      <c r="A189" t="s">
        <v>158</v>
      </c>
      <c r="B189" t="s">
        <v>22</v>
      </c>
      <c r="C189" t="s">
        <v>23</v>
      </c>
      <c r="D189" t="s">
        <v>18</v>
      </c>
      <c r="E189" s="1">
        <v>43398</v>
      </c>
      <c r="F189" t="s">
        <v>27</v>
      </c>
      <c r="G189" t="str">
        <f ca="1">VLOOKUP(RAND(),{0,"Lucas";0.39,"Roberto";0.63,"Carla";0.78,"Pedro";0.93,"Emilly"},2,TRUE)</f>
        <v>Roberto</v>
      </c>
      <c r="H189">
        <v>1</v>
      </c>
      <c r="I189">
        <v>850</v>
      </c>
      <c r="J189">
        <v>0.4</v>
      </c>
      <c r="K189">
        <f>PRODUCT(TabelaVendas1__2[[#This Row],[Valor_UnitarioXQtd]],TabelaVendas1__2[[#This Row],[Percentual_Lucro]])</f>
        <v>340</v>
      </c>
      <c r="L189">
        <v>850</v>
      </c>
      <c r="M189">
        <f>PRODUCT(TabelaVendas1__2[[#This Row],[Quantidade]],TabelaVendas1__2[[#This Row],[Valor_Unitario]])</f>
        <v>850</v>
      </c>
      <c r="N189">
        <f>SUM(TabelaVendas1__2[[#This Row],[Valor_UnitarioXQtd]],TabelaVendas1__2[[#This Row],[Valor_Lucro]])</f>
        <v>1190</v>
      </c>
      <c r="O189" s="2" t="s">
        <v>20</v>
      </c>
    </row>
    <row r="190" spans="1:15">
      <c r="A190" t="s">
        <v>142</v>
      </c>
      <c r="B190" t="s">
        <v>22</v>
      </c>
      <c r="C190" t="s">
        <v>23</v>
      </c>
      <c r="D190" t="s">
        <v>29</v>
      </c>
      <c r="E190" s="1">
        <v>43398</v>
      </c>
      <c r="F190" t="s">
        <v>19</v>
      </c>
      <c r="G190" t="str">
        <f ca="1">VLOOKUP(RAND(),{0,"Lucas";0.39,"Roberto";0.63,"Carla";0.78,"Pedro";0.93,"Emilly"},2,TRUE)</f>
        <v>Roberto</v>
      </c>
      <c r="H190">
        <v>1</v>
      </c>
      <c r="I190">
        <v>350</v>
      </c>
      <c r="J190">
        <v>0.4</v>
      </c>
      <c r="K190">
        <f>PRODUCT(TabelaVendas1__2[[#This Row],[Valor_UnitarioXQtd]],TabelaVendas1__2[[#This Row],[Percentual_Lucro]])</f>
        <v>140</v>
      </c>
      <c r="L190">
        <v>350</v>
      </c>
      <c r="M190">
        <f>PRODUCT(TabelaVendas1__2[[#This Row],[Quantidade]],TabelaVendas1__2[[#This Row],[Valor_Unitario]])</f>
        <v>350</v>
      </c>
      <c r="N190">
        <f>SUM(TabelaVendas1__2[[#This Row],[Valor_UnitarioXQtd]],TabelaVendas1__2[[#This Row],[Valor_Lucro]])</f>
        <v>490</v>
      </c>
      <c r="O190" s="2" t="s">
        <v>31</v>
      </c>
    </row>
    <row r="191" spans="1:15">
      <c r="A191" t="s">
        <v>159</v>
      </c>
      <c r="B191" t="s">
        <v>22</v>
      </c>
      <c r="C191" t="s">
        <v>23</v>
      </c>
      <c r="D191" t="s">
        <v>34</v>
      </c>
      <c r="E191" s="1">
        <v>43398</v>
      </c>
      <c r="F191" t="s">
        <v>19</v>
      </c>
      <c r="G191" t="str">
        <f ca="1">VLOOKUP(RAND(),{0,"Lucas";0.39,"Roberto";0.63,"Carla";0.78,"Pedro";0.93,"Emilly"},2,TRUE)</f>
        <v>Roberto</v>
      </c>
      <c r="H191">
        <v>1</v>
      </c>
      <c r="I191">
        <v>1350</v>
      </c>
      <c r="J191">
        <v>0.4</v>
      </c>
      <c r="K191">
        <f>PRODUCT(TabelaVendas1__2[[#This Row],[Valor_UnitarioXQtd]],TabelaVendas1__2[[#This Row],[Percentual_Lucro]])</f>
        <v>540</v>
      </c>
      <c r="L191">
        <v>1350</v>
      </c>
      <c r="M191">
        <f>PRODUCT(TabelaVendas1__2[[#This Row],[Quantidade]],TabelaVendas1__2[[#This Row],[Valor_Unitario]])</f>
        <v>1350</v>
      </c>
      <c r="N191">
        <f>SUM(TabelaVendas1__2[[#This Row],[Valor_UnitarioXQtd]],TabelaVendas1__2[[#This Row],[Valor_Lucro]])</f>
        <v>1890</v>
      </c>
      <c r="O191" s="2" t="s">
        <v>35</v>
      </c>
    </row>
    <row r="192" spans="1:15">
      <c r="A192" t="s">
        <v>160</v>
      </c>
      <c r="B192" t="s">
        <v>22</v>
      </c>
      <c r="C192" t="s">
        <v>23</v>
      </c>
      <c r="D192" t="s">
        <v>121</v>
      </c>
      <c r="E192" s="1">
        <v>43433</v>
      </c>
      <c r="F192" t="s">
        <v>30</v>
      </c>
      <c r="G192" t="str">
        <f ca="1">VLOOKUP(RAND(),{0,"Lucas";0.39,"Roberto";0.63,"Carla";0.78,"Pedro";0.93,"Emilly"},2,TRUE)</f>
        <v>Lucas</v>
      </c>
      <c r="H192">
        <v>1</v>
      </c>
      <c r="I192">
        <v>440</v>
      </c>
      <c r="J192">
        <v>0.4</v>
      </c>
      <c r="K192">
        <f>PRODUCT(TabelaVendas1__2[[#This Row],[Valor_UnitarioXQtd]],TabelaVendas1__2[[#This Row],[Percentual_Lucro]])</f>
        <v>176</v>
      </c>
      <c r="L192">
        <v>440</v>
      </c>
      <c r="M192">
        <f>PRODUCT(TabelaVendas1__2[[#This Row],[Quantidade]],TabelaVendas1__2[[#This Row],[Valor_Unitario]])</f>
        <v>440</v>
      </c>
      <c r="N192">
        <f>SUM(TabelaVendas1__2[[#This Row],[Valor_UnitarioXQtd]],TabelaVendas1__2[[#This Row],[Valor_Lucro]])</f>
        <v>616</v>
      </c>
      <c r="O192" s="2" t="s">
        <v>122</v>
      </c>
    </row>
    <row r="193" spans="1:15">
      <c r="A193" t="s">
        <v>91</v>
      </c>
      <c r="B193" t="s">
        <v>22</v>
      </c>
      <c r="C193" t="s">
        <v>23</v>
      </c>
      <c r="D193" t="s">
        <v>18</v>
      </c>
      <c r="E193" s="1">
        <v>43433</v>
      </c>
      <c r="F193" t="s">
        <v>30</v>
      </c>
      <c r="G193" t="str">
        <f ca="1">VLOOKUP(RAND(),{0,"Lucas";0.39,"Roberto";0.63,"Carla";0.78,"Pedro";0.93,"Emilly"},2,TRUE)</f>
        <v>Pedro</v>
      </c>
      <c r="H193">
        <v>1</v>
      </c>
      <c r="I193">
        <v>3500</v>
      </c>
      <c r="J193">
        <v>0.4</v>
      </c>
      <c r="K193">
        <f>PRODUCT(TabelaVendas1__2[[#This Row],[Valor_UnitarioXQtd]],TabelaVendas1__2[[#This Row],[Percentual_Lucro]])</f>
        <v>1400</v>
      </c>
      <c r="L193">
        <v>3500</v>
      </c>
      <c r="M193">
        <f>PRODUCT(TabelaVendas1__2[[#This Row],[Quantidade]],TabelaVendas1__2[[#This Row],[Valor_Unitario]])</f>
        <v>3500</v>
      </c>
      <c r="N193">
        <f>SUM(TabelaVendas1__2[[#This Row],[Valor_UnitarioXQtd]],TabelaVendas1__2[[#This Row],[Valor_Lucro]])</f>
        <v>4900</v>
      </c>
      <c r="O193" s="2" t="s">
        <v>20</v>
      </c>
    </row>
    <row r="194" spans="1:15">
      <c r="A194" t="s">
        <v>158</v>
      </c>
      <c r="B194" t="s">
        <v>22</v>
      </c>
      <c r="C194" t="s">
        <v>23</v>
      </c>
      <c r="D194" t="s">
        <v>18</v>
      </c>
      <c r="E194" s="1">
        <v>43433</v>
      </c>
      <c r="F194" t="s">
        <v>19</v>
      </c>
      <c r="G194" t="str">
        <f ca="1">VLOOKUP(RAND(),{0,"Lucas";0.39,"Roberto";0.63,"Carla";0.78,"Pedro";0.93,"Emilly"},2,TRUE)</f>
        <v>Roberto</v>
      </c>
      <c r="H194">
        <v>1</v>
      </c>
      <c r="I194">
        <v>420</v>
      </c>
      <c r="J194">
        <v>0.4</v>
      </c>
      <c r="K194">
        <f>PRODUCT(TabelaVendas1__2[[#This Row],[Valor_UnitarioXQtd]],TabelaVendas1__2[[#This Row],[Percentual_Lucro]])</f>
        <v>168</v>
      </c>
      <c r="L194">
        <v>420</v>
      </c>
      <c r="M194">
        <f>PRODUCT(TabelaVendas1__2[[#This Row],[Quantidade]],TabelaVendas1__2[[#This Row],[Valor_Unitario]])</f>
        <v>420</v>
      </c>
      <c r="N194">
        <f>SUM(TabelaVendas1__2[[#This Row],[Valor_UnitarioXQtd]],TabelaVendas1__2[[#This Row],[Valor_Lucro]])</f>
        <v>588</v>
      </c>
      <c r="O194" s="2" t="s">
        <v>20</v>
      </c>
    </row>
    <row r="195" spans="1:15">
      <c r="A195" t="s">
        <v>144</v>
      </c>
      <c r="B195" t="s">
        <v>22</v>
      </c>
      <c r="C195" t="s">
        <v>23</v>
      </c>
      <c r="D195" t="s">
        <v>126</v>
      </c>
      <c r="E195" s="1">
        <v>43433</v>
      </c>
      <c r="F195" t="s">
        <v>30</v>
      </c>
      <c r="G195" t="str">
        <f ca="1">VLOOKUP(RAND(),{0,"Lucas";0.39,"Roberto";0.63,"Carla";0.78,"Pedro";0.93,"Emilly"},2,TRUE)</f>
        <v>Lucas</v>
      </c>
      <c r="H195">
        <v>1</v>
      </c>
      <c r="I195">
        <v>1500</v>
      </c>
      <c r="J195">
        <v>0.4</v>
      </c>
      <c r="K195">
        <f>PRODUCT(TabelaVendas1__2[[#This Row],[Valor_UnitarioXQtd]],TabelaVendas1__2[[#This Row],[Percentual_Lucro]])</f>
        <v>600</v>
      </c>
      <c r="L195">
        <v>1500</v>
      </c>
      <c r="M195">
        <f>PRODUCT(TabelaVendas1__2[[#This Row],[Quantidade]],TabelaVendas1__2[[#This Row],[Valor_Unitario]])</f>
        <v>1500</v>
      </c>
      <c r="N195">
        <f>SUM(TabelaVendas1__2[[#This Row],[Valor_UnitarioXQtd]],TabelaVendas1__2[[#This Row],[Valor_Lucro]])</f>
        <v>2100</v>
      </c>
      <c r="O195" s="2" t="s">
        <v>127</v>
      </c>
    </row>
    <row r="196" spans="1:15">
      <c r="A196" t="s">
        <v>161</v>
      </c>
      <c r="B196" t="s">
        <v>22</v>
      </c>
      <c r="C196" t="s">
        <v>33</v>
      </c>
      <c r="D196" t="s">
        <v>29</v>
      </c>
      <c r="E196" s="1">
        <v>43433</v>
      </c>
      <c r="F196" t="s">
        <v>30</v>
      </c>
      <c r="G196" t="str">
        <f ca="1">VLOOKUP(RAND(),{0,"Lucas";0.39,"Roberto";0.63,"Carla";0.78,"Pedro";0.93,"Emilly"},2,TRUE)</f>
        <v>Pedro</v>
      </c>
      <c r="H196">
        <v>1</v>
      </c>
      <c r="I196">
        <v>2700</v>
      </c>
      <c r="J196">
        <v>0.4</v>
      </c>
      <c r="K196">
        <f>PRODUCT(TabelaVendas1__2[[#This Row],[Valor_UnitarioXQtd]],TabelaVendas1__2[[#This Row],[Percentual_Lucro]])</f>
        <v>1080</v>
      </c>
      <c r="L196">
        <v>2700</v>
      </c>
      <c r="M196">
        <f>PRODUCT(TabelaVendas1__2[[#This Row],[Quantidade]],TabelaVendas1__2[[#This Row],[Valor_Unitario]])</f>
        <v>2700</v>
      </c>
      <c r="N196">
        <f>SUM(TabelaVendas1__2[[#This Row],[Valor_UnitarioXQtd]],TabelaVendas1__2[[#This Row],[Valor_Lucro]])</f>
        <v>3780</v>
      </c>
      <c r="O196" s="2" t="s">
        <v>31</v>
      </c>
    </row>
    <row r="197" spans="1:15">
      <c r="A197" t="s">
        <v>162</v>
      </c>
      <c r="B197" t="s">
        <v>16</v>
      </c>
      <c r="C197" t="s">
        <v>17</v>
      </c>
      <c r="D197" t="s">
        <v>34</v>
      </c>
      <c r="E197" s="1">
        <v>43433</v>
      </c>
      <c r="F197" t="s">
        <v>19</v>
      </c>
      <c r="G197" t="str">
        <f ca="1">VLOOKUP(RAND(),{0,"Lucas";0.39,"Roberto";0.63,"Carla";0.78,"Pedro";0.93,"Emilly"},2,TRUE)</f>
        <v>Carla</v>
      </c>
      <c r="H197">
        <v>1</v>
      </c>
      <c r="I197">
        <v>1450</v>
      </c>
      <c r="J197">
        <v>0.4</v>
      </c>
      <c r="K197">
        <f>PRODUCT(TabelaVendas1__2[[#This Row],[Valor_UnitarioXQtd]],TabelaVendas1__2[[#This Row],[Percentual_Lucro]])</f>
        <v>580</v>
      </c>
      <c r="L197">
        <v>1450</v>
      </c>
      <c r="M197">
        <f>PRODUCT(TabelaVendas1__2[[#This Row],[Quantidade]],TabelaVendas1__2[[#This Row],[Valor_Unitario]])</f>
        <v>1450</v>
      </c>
      <c r="N197">
        <f>SUM(TabelaVendas1__2[[#This Row],[Valor_UnitarioXQtd]],TabelaVendas1__2[[#This Row],[Valor_Lucro]])</f>
        <v>2030</v>
      </c>
      <c r="O197" s="2" t="s">
        <v>35</v>
      </c>
    </row>
    <row r="198" spans="1:15">
      <c r="A198" t="s">
        <v>15</v>
      </c>
      <c r="B198" t="s">
        <v>22</v>
      </c>
      <c r="C198" t="s">
        <v>23</v>
      </c>
      <c r="D198" t="s">
        <v>18</v>
      </c>
      <c r="E198" s="1">
        <v>43433</v>
      </c>
      <c r="F198" t="s">
        <v>19</v>
      </c>
      <c r="G198" t="str">
        <f ca="1">VLOOKUP(RAND(),{0,"Lucas";0.39,"Roberto";0.63,"Carla";0.78,"Pedro";0.93,"Emilly"},2,TRUE)</f>
        <v>Lucas</v>
      </c>
      <c r="H198">
        <v>1</v>
      </c>
      <c r="I198">
        <v>3800</v>
      </c>
      <c r="J198">
        <v>0.4</v>
      </c>
      <c r="K198">
        <f>PRODUCT(TabelaVendas1__2[[#This Row],[Valor_UnitarioXQtd]],TabelaVendas1__2[[#This Row],[Percentual_Lucro]])</f>
        <v>1520</v>
      </c>
      <c r="L198">
        <v>-3800</v>
      </c>
      <c r="M198">
        <f>PRODUCT(TabelaVendas1__2[[#This Row],[Quantidade]],TabelaVendas1__2[[#This Row],[Valor_Unitario]])</f>
        <v>3800</v>
      </c>
      <c r="N198">
        <f>SUM(TabelaVendas1__2[[#This Row],[Valor_UnitarioXQtd]],TabelaVendas1__2[[#This Row],[Valor_Lucro]])</f>
        <v>5320</v>
      </c>
      <c r="O198" s="2" t="s">
        <v>20</v>
      </c>
    </row>
    <row r="199" spans="1:15">
      <c r="A199" t="s">
        <v>163</v>
      </c>
      <c r="B199" t="s">
        <v>22</v>
      </c>
      <c r="C199" t="s">
        <v>23</v>
      </c>
      <c r="D199" t="s">
        <v>54</v>
      </c>
      <c r="E199" s="1">
        <v>43433</v>
      </c>
      <c r="F199" t="s">
        <v>30</v>
      </c>
      <c r="G199" t="str">
        <f ca="1">VLOOKUP(RAND(),{0,"Lucas";0.39,"Roberto";0.63,"Carla";0.78,"Pedro";0.93,"Emilly"},2,TRUE)</f>
        <v>Lucas</v>
      </c>
      <c r="H199">
        <v>1</v>
      </c>
      <c r="I199">
        <v>2300</v>
      </c>
      <c r="J199">
        <v>0.4</v>
      </c>
      <c r="K199">
        <f>PRODUCT(TabelaVendas1__2[[#This Row],[Valor_UnitarioXQtd]],TabelaVendas1__2[[#This Row],[Percentual_Lucro]])</f>
        <v>920</v>
      </c>
      <c r="L199">
        <v>2300</v>
      </c>
      <c r="M199">
        <f>PRODUCT(TabelaVendas1__2[[#This Row],[Quantidade]],TabelaVendas1__2[[#This Row],[Valor_Unitario]])</f>
        <v>2300</v>
      </c>
      <c r="N199">
        <f>SUM(TabelaVendas1__2[[#This Row],[Valor_UnitarioXQtd]],TabelaVendas1__2[[#This Row],[Valor_Lucro]])</f>
        <v>3220</v>
      </c>
      <c r="O199" s="2" t="s">
        <v>55</v>
      </c>
    </row>
    <row r="200" spans="1:15">
      <c r="A200" t="s">
        <v>101</v>
      </c>
      <c r="B200" t="s">
        <v>22</v>
      </c>
      <c r="C200" t="s">
        <v>23</v>
      </c>
      <c r="D200" t="s">
        <v>34</v>
      </c>
      <c r="E200" s="1">
        <v>43433</v>
      </c>
      <c r="F200" t="s">
        <v>27</v>
      </c>
      <c r="G200" t="str">
        <f ca="1">VLOOKUP(RAND(),{0,"Lucas";0.39,"Roberto";0.63,"Carla";0.78,"Pedro";0.93,"Emilly"},2,TRUE)</f>
        <v>Pedro</v>
      </c>
      <c r="H200">
        <v>1</v>
      </c>
      <c r="I200">
        <v>550</v>
      </c>
      <c r="J200">
        <v>0.4</v>
      </c>
      <c r="K200">
        <f>PRODUCT(TabelaVendas1__2[[#This Row],[Valor_UnitarioXQtd]],TabelaVendas1__2[[#This Row],[Percentual_Lucro]])</f>
        <v>220</v>
      </c>
      <c r="L200">
        <v>-550</v>
      </c>
      <c r="M200">
        <f>PRODUCT(TabelaVendas1__2[[#This Row],[Quantidade]],TabelaVendas1__2[[#This Row],[Valor_Unitario]])</f>
        <v>550</v>
      </c>
      <c r="N200">
        <f>SUM(TabelaVendas1__2[[#This Row],[Valor_UnitarioXQtd]],TabelaVendas1__2[[#This Row],[Valor_Lucro]])</f>
        <v>770</v>
      </c>
      <c r="O200" s="2" t="s">
        <v>35</v>
      </c>
    </row>
    <row r="201" spans="1:15">
      <c r="A201" t="s">
        <v>62</v>
      </c>
      <c r="B201" t="s">
        <v>22</v>
      </c>
      <c r="C201" t="s">
        <v>23</v>
      </c>
      <c r="D201" t="s">
        <v>24</v>
      </c>
      <c r="E201" s="1">
        <v>43447</v>
      </c>
      <c r="F201" t="s">
        <v>30</v>
      </c>
      <c r="G201" t="str">
        <f ca="1">VLOOKUP(RAND(),{0,"Lucas";0.39,"Roberto";0.63,"Carla";0.78,"Pedro";0.93,"Emilly"},2,TRUE)</f>
        <v>Lucas</v>
      </c>
      <c r="H201">
        <v>1</v>
      </c>
      <c r="I201">
        <v>18300</v>
      </c>
      <c r="J201">
        <v>0.4</v>
      </c>
      <c r="K201">
        <f>PRODUCT(TabelaVendas1__2[[#This Row],[Valor_UnitarioXQtd]],TabelaVendas1__2[[#This Row],[Percentual_Lucro]])</f>
        <v>7320</v>
      </c>
      <c r="L201">
        <v>18300</v>
      </c>
      <c r="M201">
        <f>PRODUCT(TabelaVendas1__2[[#This Row],[Quantidade]],TabelaVendas1__2[[#This Row],[Valor_Unitario]])</f>
        <v>18300</v>
      </c>
      <c r="N201">
        <f>SUM(TabelaVendas1__2[[#This Row],[Valor_UnitarioXQtd]],TabelaVendas1__2[[#This Row],[Valor_Lucro]])</f>
        <v>25620</v>
      </c>
      <c r="O201" s="2" t="s">
        <v>25</v>
      </c>
    </row>
    <row r="202" spans="1:15">
      <c r="A202" t="s">
        <v>102</v>
      </c>
      <c r="B202" t="s">
        <v>22</v>
      </c>
      <c r="C202" t="s">
        <v>23</v>
      </c>
      <c r="D202" t="s">
        <v>75</v>
      </c>
      <c r="E202" s="1">
        <v>43494</v>
      </c>
      <c r="F202" t="s">
        <v>27</v>
      </c>
      <c r="G202" t="str">
        <f ca="1">VLOOKUP(RAND(),{0,"Lucas";0.39,"Roberto";0.63,"Carla";0.78,"Pedro";0.93,"Emilly"},2,TRUE)</f>
        <v>Lucas</v>
      </c>
      <c r="H202">
        <v>2</v>
      </c>
      <c r="I202">
        <v>850</v>
      </c>
      <c r="J202">
        <v>0.4</v>
      </c>
      <c r="K202">
        <f>PRODUCT(TabelaVendas1__2[[#This Row],[Valor_UnitarioXQtd]],TabelaVendas1__2[[#This Row],[Percentual_Lucro]])</f>
        <v>680</v>
      </c>
      <c r="L202">
        <v>1700</v>
      </c>
      <c r="M202">
        <f>PRODUCT(TabelaVendas1__2[[#This Row],[Quantidade]],TabelaVendas1__2[[#This Row],[Valor_Unitario]])</f>
        <v>1700</v>
      </c>
      <c r="N202">
        <f>SUM(TabelaVendas1__2[[#This Row],[Valor_UnitarioXQtd]],TabelaVendas1__2[[#This Row],[Valor_Lucro]])</f>
        <v>2380</v>
      </c>
      <c r="O202" s="2" t="s">
        <v>76</v>
      </c>
    </row>
    <row r="203" spans="1:15">
      <c r="A203" t="s">
        <v>91</v>
      </c>
      <c r="B203" t="s">
        <v>22</v>
      </c>
      <c r="C203" t="s">
        <v>23</v>
      </c>
      <c r="D203" t="s">
        <v>18</v>
      </c>
      <c r="E203" s="1">
        <v>43494</v>
      </c>
      <c r="F203" t="s">
        <v>27</v>
      </c>
      <c r="G203" t="str">
        <f ca="1">VLOOKUP(RAND(),{0,"Lucas";0.39,"Roberto";0.63,"Carla";0.78,"Pedro";0.93,"Emilly"},2,TRUE)</f>
        <v>Carla</v>
      </c>
      <c r="H203">
        <v>1</v>
      </c>
      <c r="I203">
        <v>1900</v>
      </c>
      <c r="J203">
        <v>0.4</v>
      </c>
      <c r="K203">
        <f>PRODUCT(TabelaVendas1__2[[#This Row],[Valor_UnitarioXQtd]],TabelaVendas1__2[[#This Row],[Percentual_Lucro]])</f>
        <v>760</v>
      </c>
      <c r="L203">
        <v>1900</v>
      </c>
      <c r="M203">
        <f>PRODUCT(TabelaVendas1__2[[#This Row],[Quantidade]],TabelaVendas1__2[[#This Row],[Valor_Unitario]])</f>
        <v>1900</v>
      </c>
      <c r="N203">
        <f>SUM(TabelaVendas1__2[[#This Row],[Valor_UnitarioXQtd]],TabelaVendas1__2[[#This Row],[Valor_Lucro]])</f>
        <v>2660</v>
      </c>
      <c r="O203" s="2" t="s">
        <v>20</v>
      </c>
    </row>
    <row r="204" spans="1:15">
      <c r="A204" t="s">
        <v>105</v>
      </c>
      <c r="B204" t="s">
        <v>22</v>
      </c>
      <c r="C204" t="s">
        <v>23</v>
      </c>
      <c r="D204" t="s">
        <v>18</v>
      </c>
      <c r="E204" s="1">
        <v>43494</v>
      </c>
      <c r="F204" t="s">
        <v>19</v>
      </c>
      <c r="G204" t="str">
        <f ca="1">VLOOKUP(RAND(),{0,"Lucas";0.39,"Roberto";0.63,"Carla";0.78,"Pedro";0.93,"Emilly"},2,TRUE)</f>
        <v>Emilly</v>
      </c>
      <c r="H204">
        <v>1</v>
      </c>
      <c r="I204">
        <v>2800</v>
      </c>
      <c r="J204">
        <v>0.4</v>
      </c>
      <c r="K204">
        <f>PRODUCT(TabelaVendas1__2[[#This Row],[Valor_UnitarioXQtd]],TabelaVendas1__2[[#This Row],[Percentual_Lucro]])</f>
        <v>1120</v>
      </c>
      <c r="L204">
        <v>2800</v>
      </c>
      <c r="M204">
        <f>PRODUCT(TabelaVendas1__2[[#This Row],[Quantidade]],TabelaVendas1__2[[#This Row],[Valor_Unitario]])</f>
        <v>2800</v>
      </c>
      <c r="N204">
        <f>SUM(TabelaVendas1__2[[#This Row],[Valor_UnitarioXQtd]],TabelaVendas1__2[[#This Row],[Valor_Lucro]])</f>
        <v>3920</v>
      </c>
      <c r="O204" s="2" t="s">
        <v>20</v>
      </c>
    </row>
    <row r="205" spans="1:15">
      <c r="A205" t="s">
        <v>164</v>
      </c>
      <c r="B205" t="s">
        <v>22</v>
      </c>
      <c r="C205" t="s">
        <v>23</v>
      </c>
      <c r="D205" t="s">
        <v>54</v>
      </c>
      <c r="E205" s="1">
        <v>43494</v>
      </c>
      <c r="F205" t="s">
        <v>27</v>
      </c>
      <c r="G205" t="str">
        <f ca="1">VLOOKUP(RAND(),{0,"Lucas";0.39,"Roberto";0.63,"Carla";0.78,"Pedro";0.93,"Emilly"},2,TRUE)</f>
        <v>Carla</v>
      </c>
      <c r="H205">
        <v>1</v>
      </c>
      <c r="I205">
        <v>1000</v>
      </c>
      <c r="J205">
        <v>0.4</v>
      </c>
      <c r="K205">
        <f>PRODUCT(TabelaVendas1__2[[#This Row],[Valor_UnitarioXQtd]],TabelaVendas1__2[[#This Row],[Percentual_Lucro]])</f>
        <v>400</v>
      </c>
      <c r="L205">
        <v>1000</v>
      </c>
      <c r="M205">
        <f>PRODUCT(TabelaVendas1__2[[#This Row],[Quantidade]],TabelaVendas1__2[[#This Row],[Valor_Unitario]])</f>
        <v>1000</v>
      </c>
      <c r="N205">
        <f>SUM(TabelaVendas1__2[[#This Row],[Valor_UnitarioXQtd]],TabelaVendas1__2[[#This Row],[Valor_Lucro]])</f>
        <v>1400</v>
      </c>
      <c r="O205" s="2" t="s">
        <v>55</v>
      </c>
    </row>
    <row r="206" spans="1:15">
      <c r="A206" t="s">
        <v>165</v>
      </c>
      <c r="B206" t="s">
        <v>22</v>
      </c>
      <c r="C206" t="s">
        <v>23</v>
      </c>
      <c r="D206" t="s">
        <v>29</v>
      </c>
      <c r="E206" s="1">
        <v>43494</v>
      </c>
      <c r="F206" t="s">
        <v>30</v>
      </c>
      <c r="G206" t="str">
        <f ca="1">VLOOKUP(RAND(),{0,"Lucas";0.39,"Roberto";0.63,"Carla";0.78,"Pedro";0.93,"Emilly"},2,TRUE)</f>
        <v>Pedro</v>
      </c>
      <c r="H206">
        <v>1</v>
      </c>
      <c r="I206">
        <v>980</v>
      </c>
      <c r="J206">
        <v>0.4</v>
      </c>
      <c r="K206">
        <f>PRODUCT(TabelaVendas1__2[[#This Row],[Valor_UnitarioXQtd]],TabelaVendas1__2[[#This Row],[Percentual_Lucro]])</f>
        <v>392</v>
      </c>
      <c r="L206">
        <v>980</v>
      </c>
      <c r="M206">
        <f>PRODUCT(TabelaVendas1__2[[#This Row],[Quantidade]],TabelaVendas1__2[[#This Row],[Valor_Unitario]])</f>
        <v>980</v>
      </c>
      <c r="N206">
        <f>SUM(TabelaVendas1__2[[#This Row],[Valor_UnitarioXQtd]],TabelaVendas1__2[[#This Row],[Valor_Lucro]])</f>
        <v>1372</v>
      </c>
      <c r="O206" s="2" t="s">
        <v>31</v>
      </c>
    </row>
    <row r="207" spans="1:15">
      <c r="A207" t="s">
        <v>91</v>
      </c>
      <c r="B207" t="s">
        <v>22</v>
      </c>
      <c r="C207" t="s">
        <v>23</v>
      </c>
      <c r="D207" t="s">
        <v>18</v>
      </c>
      <c r="E207" s="1">
        <v>43514</v>
      </c>
      <c r="F207" t="s">
        <v>19</v>
      </c>
      <c r="G207" t="str">
        <f ca="1">VLOOKUP(RAND(),{0,"Lucas";0.39,"Roberto";0.63,"Carla";0.78,"Pedro";0.93,"Emilly"},2,TRUE)</f>
        <v>Lucas</v>
      </c>
      <c r="H207">
        <v>1</v>
      </c>
      <c r="I207">
        <v>2600</v>
      </c>
      <c r="J207">
        <v>0.4</v>
      </c>
      <c r="K207">
        <f>PRODUCT(TabelaVendas1__2[[#This Row],[Valor_UnitarioXQtd]],TabelaVendas1__2[[#This Row],[Percentual_Lucro]])</f>
        <v>1040</v>
      </c>
      <c r="L207">
        <v>2600</v>
      </c>
      <c r="M207">
        <f>PRODUCT(TabelaVendas1__2[[#This Row],[Quantidade]],TabelaVendas1__2[[#This Row],[Valor_Unitario]])</f>
        <v>2600</v>
      </c>
      <c r="N207">
        <f>SUM(TabelaVendas1__2[[#This Row],[Valor_UnitarioXQtd]],TabelaVendas1__2[[#This Row],[Valor_Lucro]])</f>
        <v>3640</v>
      </c>
      <c r="O207" s="2" t="s">
        <v>20</v>
      </c>
    </row>
    <row r="208" spans="1:15">
      <c r="A208" t="s">
        <v>105</v>
      </c>
      <c r="B208" t="s">
        <v>22</v>
      </c>
      <c r="C208" t="s">
        <v>23</v>
      </c>
      <c r="D208" t="s">
        <v>18</v>
      </c>
      <c r="E208" s="1">
        <v>43514</v>
      </c>
      <c r="F208" t="s">
        <v>30</v>
      </c>
      <c r="G208" t="str">
        <f ca="1">VLOOKUP(RAND(),{0,"Lucas";0.39,"Roberto";0.63,"Carla";0.78,"Pedro";0.93,"Emilly"},2,TRUE)</f>
        <v>Lucas</v>
      </c>
      <c r="H208">
        <v>1</v>
      </c>
      <c r="I208">
        <v>5000</v>
      </c>
      <c r="J208">
        <v>0.4</v>
      </c>
      <c r="K208">
        <f>PRODUCT(TabelaVendas1__2[[#This Row],[Valor_UnitarioXQtd]],TabelaVendas1__2[[#This Row],[Percentual_Lucro]])</f>
        <v>2000</v>
      </c>
      <c r="L208">
        <v>5000</v>
      </c>
      <c r="M208">
        <f>PRODUCT(TabelaVendas1__2[[#This Row],[Quantidade]],TabelaVendas1__2[[#This Row],[Valor_Unitario]])</f>
        <v>5000</v>
      </c>
      <c r="N208">
        <f>SUM(TabelaVendas1__2[[#This Row],[Valor_UnitarioXQtd]],TabelaVendas1__2[[#This Row],[Valor_Lucro]])</f>
        <v>7000</v>
      </c>
      <c r="O208" s="2" t="s">
        <v>20</v>
      </c>
    </row>
    <row r="209" spans="1:15">
      <c r="A209" t="s">
        <v>166</v>
      </c>
      <c r="B209" t="s">
        <v>22</v>
      </c>
      <c r="C209" t="s">
        <v>23</v>
      </c>
      <c r="D209" t="s">
        <v>18</v>
      </c>
      <c r="E209" s="1">
        <v>43514</v>
      </c>
      <c r="F209" t="s">
        <v>19</v>
      </c>
      <c r="G209" t="str">
        <f ca="1">VLOOKUP(RAND(),{0,"Lucas";0.39,"Roberto";0.63,"Carla";0.78,"Pedro";0.93,"Emilly"},2,TRUE)</f>
        <v>Roberto</v>
      </c>
      <c r="H209">
        <v>1</v>
      </c>
      <c r="I209">
        <v>2100</v>
      </c>
      <c r="J209">
        <v>0.4</v>
      </c>
      <c r="K209">
        <f>PRODUCT(TabelaVendas1__2[[#This Row],[Valor_UnitarioXQtd]],TabelaVendas1__2[[#This Row],[Percentual_Lucro]])</f>
        <v>840</v>
      </c>
      <c r="L209">
        <v>2100</v>
      </c>
      <c r="M209">
        <f>PRODUCT(TabelaVendas1__2[[#This Row],[Quantidade]],TabelaVendas1__2[[#This Row],[Valor_Unitario]])</f>
        <v>2100</v>
      </c>
      <c r="N209">
        <f>SUM(TabelaVendas1__2[[#This Row],[Valor_UnitarioXQtd]],TabelaVendas1__2[[#This Row],[Valor_Lucro]])</f>
        <v>2940</v>
      </c>
      <c r="O209" s="2" t="s">
        <v>20</v>
      </c>
    </row>
    <row r="210" spans="1:15">
      <c r="A210" t="s">
        <v>144</v>
      </c>
      <c r="B210" t="s">
        <v>22</v>
      </c>
      <c r="C210" t="s">
        <v>23</v>
      </c>
      <c r="D210" t="s">
        <v>126</v>
      </c>
      <c r="E210" s="1">
        <v>43514</v>
      </c>
      <c r="F210" t="s">
        <v>27</v>
      </c>
      <c r="G210" t="str">
        <f ca="1">VLOOKUP(RAND(),{0,"Lucas";0.39,"Roberto";0.63,"Carla";0.78,"Pedro";0.93,"Emilly"},2,TRUE)</f>
        <v>Lucas</v>
      </c>
      <c r="H210">
        <v>2</v>
      </c>
      <c r="I210">
        <v>1150</v>
      </c>
      <c r="J210">
        <v>0.4</v>
      </c>
      <c r="K210">
        <f>PRODUCT(TabelaVendas1__2[[#This Row],[Valor_UnitarioXQtd]],TabelaVendas1__2[[#This Row],[Percentual_Lucro]])</f>
        <v>920</v>
      </c>
      <c r="L210">
        <v>2300</v>
      </c>
      <c r="M210">
        <f>PRODUCT(TabelaVendas1__2[[#This Row],[Quantidade]],TabelaVendas1__2[[#This Row],[Valor_Unitario]])</f>
        <v>2300</v>
      </c>
      <c r="N210">
        <f>SUM(TabelaVendas1__2[[#This Row],[Valor_UnitarioXQtd]],TabelaVendas1__2[[#This Row],[Valor_Lucro]])</f>
        <v>3220</v>
      </c>
      <c r="O210" s="2" t="s">
        <v>127</v>
      </c>
    </row>
    <row r="211" spans="1:15">
      <c r="A211" t="s">
        <v>52</v>
      </c>
      <c r="B211" t="s">
        <v>22</v>
      </c>
      <c r="C211" t="s">
        <v>23</v>
      </c>
      <c r="D211" t="s">
        <v>18</v>
      </c>
      <c r="E211" s="1">
        <v>43551</v>
      </c>
      <c r="F211" t="s">
        <v>30</v>
      </c>
      <c r="G211" t="str">
        <f ca="1">VLOOKUP(RAND(),{0,"Lucas";0.39,"Roberto";0.63,"Carla";0.78,"Pedro";0.93,"Emilly"},2,TRUE)</f>
        <v>Pedro</v>
      </c>
      <c r="H211">
        <v>1</v>
      </c>
      <c r="I211">
        <v>1800</v>
      </c>
      <c r="J211">
        <v>0.4</v>
      </c>
      <c r="K211">
        <f>PRODUCT(TabelaVendas1__2[[#This Row],[Valor_UnitarioXQtd]],TabelaVendas1__2[[#This Row],[Percentual_Lucro]])</f>
        <v>720</v>
      </c>
      <c r="L211">
        <v>1800</v>
      </c>
      <c r="M211">
        <f>PRODUCT(TabelaVendas1__2[[#This Row],[Quantidade]],TabelaVendas1__2[[#This Row],[Valor_Unitario]])</f>
        <v>1800</v>
      </c>
      <c r="N211">
        <f>SUM(TabelaVendas1__2[[#This Row],[Valor_UnitarioXQtd]],TabelaVendas1__2[[#This Row],[Valor_Lucro]])</f>
        <v>2520</v>
      </c>
      <c r="O211" s="2" t="s">
        <v>20</v>
      </c>
    </row>
    <row r="212" spans="1:15">
      <c r="A212" t="s">
        <v>58</v>
      </c>
      <c r="B212" t="s">
        <v>22</v>
      </c>
      <c r="C212" t="s">
        <v>23</v>
      </c>
      <c r="D212" t="s">
        <v>18</v>
      </c>
      <c r="E212" s="1">
        <v>43551</v>
      </c>
      <c r="F212" t="s">
        <v>30</v>
      </c>
      <c r="G212" t="str">
        <f ca="1">VLOOKUP(RAND(),{0,"Lucas";0.39,"Roberto";0.63,"Carla";0.78,"Pedro";0.93,"Emilly"},2,TRUE)</f>
        <v>Roberto</v>
      </c>
      <c r="H212">
        <v>1</v>
      </c>
      <c r="I212">
        <v>6900</v>
      </c>
      <c r="J212">
        <v>0.4</v>
      </c>
      <c r="K212">
        <f>PRODUCT(TabelaVendas1__2[[#This Row],[Valor_UnitarioXQtd]],TabelaVendas1__2[[#This Row],[Percentual_Lucro]])</f>
        <v>2760</v>
      </c>
      <c r="L212">
        <v>6900</v>
      </c>
      <c r="M212">
        <f>PRODUCT(TabelaVendas1__2[[#This Row],[Quantidade]],TabelaVendas1__2[[#This Row],[Valor_Unitario]])</f>
        <v>6900</v>
      </c>
      <c r="N212">
        <f>SUM(TabelaVendas1__2[[#This Row],[Valor_UnitarioXQtd]],TabelaVendas1__2[[#This Row],[Valor_Lucro]])</f>
        <v>9660</v>
      </c>
      <c r="O212" s="2" t="s">
        <v>20</v>
      </c>
    </row>
    <row r="213" spans="1:15">
      <c r="A213" t="s">
        <v>167</v>
      </c>
      <c r="B213" t="s">
        <v>22</v>
      </c>
      <c r="C213" t="s">
        <v>23</v>
      </c>
      <c r="D213" t="s">
        <v>29</v>
      </c>
      <c r="E213" s="1">
        <v>43551</v>
      </c>
      <c r="F213" t="s">
        <v>27</v>
      </c>
      <c r="G213" t="str">
        <f ca="1">VLOOKUP(RAND(),{0,"Lucas";0.39,"Roberto";0.63,"Carla";0.78,"Pedro";0.93,"Emilly"},2,TRUE)</f>
        <v>Lucas</v>
      </c>
      <c r="H213">
        <v>1</v>
      </c>
      <c r="I213">
        <v>3700</v>
      </c>
      <c r="J213">
        <v>0.4</v>
      </c>
      <c r="K213">
        <f>PRODUCT(TabelaVendas1__2[[#This Row],[Valor_UnitarioXQtd]],TabelaVendas1__2[[#This Row],[Percentual_Lucro]])</f>
        <v>1480</v>
      </c>
      <c r="L213">
        <v>3700</v>
      </c>
      <c r="M213">
        <f>PRODUCT(TabelaVendas1__2[[#This Row],[Quantidade]],TabelaVendas1__2[[#This Row],[Valor_Unitario]])</f>
        <v>3700</v>
      </c>
      <c r="N213">
        <f>SUM(TabelaVendas1__2[[#This Row],[Valor_UnitarioXQtd]],TabelaVendas1__2[[#This Row],[Valor_Lucro]])</f>
        <v>5180</v>
      </c>
      <c r="O213" s="2" t="s">
        <v>31</v>
      </c>
    </row>
    <row r="214" spans="1:15">
      <c r="A214" t="s">
        <v>102</v>
      </c>
      <c r="B214" t="s">
        <v>22</v>
      </c>
      <c r="C214" t="s">
        <v>23</v>
      </c>
      <c r="D214" t="s">
        <v>75</v>
      </c>
      <c r="E214" s="1">
        <v>43584</v>
      </c>
      <c r="F214" t="s">
        <v>19</v>
      </c>
      <c r="G214" t="str">
        <f ca="1">VLOOKUP(RAND(),{0,"Lucas";0.39,"Roberto";0.63,"Carla";0.78,"Pedro";0.93,"Emilly"},2,TRUE)</f>
        <v>Lucas</v>
      </c>
      <c r="H214">
        <v>2</v>
      </c>
      <c r="I214">
        <v>1300</v>
      </c>
      <c r="J214">
        <v>0.4</v>
      </c>
      <c r="K214">
        <f>PRODUCT(TabelaVendas1__2[[#This Row],[Valor_UnitarioXQtd]],TabelaVendas1__2[[#This Row],[Percentual_Lucro]])</f>
        <v>1040</v>
      </c>
      <c r="L214">
        <v>2600</v>
      </c>
      <c r="M214">
        <f>PRODUCT(TabelaVendas1__2[[#This Row],[Quantidade]],TabelaVendas1__2[[#This Row],[Valor_Unitario]])</f>
        <v>2600</v>
      </c>
      <c r="N214">
        <f>SUM(TabelaVendas1__2[[#This Row],[Valor_UnitarioXQtd]],TabelaVendas1__2[[#This Row],[Valor_Lucro]])</f>
        <v>3640</v>
      </c>
      <c r="O214" s="2" t="s">
        <v>76</v>
      </c>
    </row>
    <row r="215" spans="1:15">
      <c r="A215" t="s">
        <v>91</v>
      </c>
      <c r="B215" t="s">
        <v>22</v>
      </c>
      <c r="C215" t="s">
        <v>23</v>
      </c>
      <c r="D215" t="s">
        <v>18</v>
      </c>
      <c r="E215" s="1">
        <v>43584</v>
      </c>
      <c r="F215" t="s">
        <v>30</v>
      </c>
      <c r="G215" t="str">
        <f ca="1">VLOOKUP(RAND(),{0,"Lucas";0.39,"Roberto";0.63,"Carla";0.78,"Pedro";0.93,"Emilly"},2,TRUE)</f>
        <v>Pedro</v>
      </c>
      <c r="H215">
        <v>1</v>
      </c>
      <c r="I215">
        <v>3600</v>
      </c>
      <c r="J215">
        <v>0.4</v>
      </c>
      <c r="K215">
        <f>PRODUCT(TabelaVendas1__2[[#This Row],[Valor_UnitarioXQtd]],TabelaVendas1__2[[#This Row],[Percentual_Lucro]])</f>
        <v>1440</v>
      </c>
      <c r="L215">
        <v>3600</v>
      </c>
      <c r="M215">
        <f>PRODUCT(TabelaVendas1__2[[#This Row],[Quantidade]],TabelaVendas1__2[[#This Row],[Valor_Unitario]])</f>
        <v>3600</v>
      </c>
      <c r="N215">
        <f>SUM(TabelaVendas1__2[[#This Row],[Valor_UnitarioXQtd]],TabelaVendas1__2[[#This Row],[Valor_Lucro]])</f>
        <v>5040</v>
      </c>
      <c r="O215" s="2" t="s">
        <v>20</v>
      </c>
    </row>
    <row r="216" spans="1:15">
      <c r="A216" t="s">
        <v>144</v>
      </c>
      <c r="B216" t="s">
        <v>22</v>
      </c>
      <c r="C216" t="s">
        <v>23</v>
      </c>
      <c r="D216" t="s">
        <v>126</v>
      </c>
      <c r="E216" s="1">
        <v>43584</v>
      </c>
      <c r="F216" t="s">
        <v>19</v>
      </c>
      <c r="G216" t="str">
        <f ca="1">VLOOKUP(RAND(),{0,"Lucas";0.39,"Roberto";0.63,"Carla";0.78,"Pedro";0.93,"Emilly"},2,TRUE)</f>
        <v>Lucas</v>
      </c>
      <c r="H216">
        <v>1</v>
      </c>
      <c r="I216">
        <v>1550</v>
      </c>
      <c r="J216">
        <v>0.4</v>
      </c>
      <c r="K216">
        <f>PRODUCT(TabelaVendas1__2[[#This Row],[Valor_UnitarioXQtd]],TabelaVendas1__2[[#This Row],[Percentual_Lucro]])</f>
        <v>620</v>
      </c>
      <c r="L216">
        <v>1550</v>
      </c>
      <c r="M216">
        <f>PRODUCT(TabelaVendas1__2[[#This Row],[Quantidade]],TabelaVendas1__2[[#This Row],[Valor_Unitario]])</f>
        <v>1550</v>
      </c>
      <c r="N216">
        <f>SUM(TabelaVendas1__2[[#This Row],[Valor_UnitarioXQtd]],TabelaVendas1__2[[#This Row],[Valor_Lucro]])</f>
        <v>2170</v>
      </c>
      <c r="O216" s="2" t="s">
        <v>127</v>
      </c>
    </row>
    <row r="217" spans="1:15">
      <c r="A217" t="s">
        <v>161</v>
      </c>
      <c r="B217" t="s">
        <v>22</v>
      </c>
      <c r="C217" t="s">
        <v>33</v>
      </c>
      <c r="D217" t="s">
        <v>29</v>
      </c>
      <c r="E217" s="1">
        <v>43584</v>
      </c>
      <c r="F217" t="s">
        <v>27</v>
      </c>
      <c r="G217" t="str">
        <f ca="1">VLOOKUP(RAND(),{0,"Lucas";0.39,"Roberto";0.63,"Carla";0.78,"Pedro";0.93,"Emilly"},2,TRUE)</f>
        <v>Carla</v>
      </c>
      <c r="H217">
        <v>1</v>
      </c>
      <c r="I217">
        <v>3000</v>
      </c>
      <c r="J217">
        <v>0.4</v>
      </c>
      <c r="K217">
        <f>PRODUCT(TabelaVendas1__2[[#This Row],[Valor_UnitarioXQtd]],TabelaVendas1__2[[#This Row],[Percentual_Lucro]])</f>
        <v>1200</v>
      </c>
      <c r="L217">
        <v>3000</v>
      </c>
      <c r="M217">
        <f>PRODUCT(TabelaVendas1__2[[#This Row],[Quantidade]],TabelaVendas1__2[[#This Row],[Valor_Unitario]])</f>
        <v>3000</v>
      </c>
      <c r="N217">
        <f>SUM(TabelaVendas1__2[[#This Row],[Valor_UnitarioXQtd]],TabelaVendas1__2[[#This Row],[Valor_Lucro]])</f>
        <v>4200</v>
      </c>
      <c r="O217" s="2" t="s">
        <v>31</v>
      </c>
    </row>
    <row r="218" spans="1:15">
      <c r="A218" t="s">
        <v>46</v>
      </c>
      <c r="B218" t="s">
        <v>22</v>
      </c>
      <c r="C218" t="s">
        <v>23</v>
      </c>
      <c r="D218" t="s">
        <v>47</v>
      </c>
      <c r="E218" s="1">
        <v>43584</v>
      </c>
      <c r="F218" t="s">
        <v>19</v>
      </c>
      <c r="G218" t="str">
        <f ca="1">VLOOKUP(RAND(),{0,"Lucas";0.39,"Roberto";0.63,"Carla";0.78,"Pedro";0.93,"Emilly"},2,TRUE)</f>
        <v>Carla</v>
      </c>
      <c r="H218">
        <v>1</v>
      </c>
      <c r="I218">
        <v>3750</v>
      </c>
      <c r="J218">
        <v>0.4</v>
      </c>
      <c r="K218">
        <f>PRODUCT(TabelaVendas1__2[[#This Row],[Valor_UnitarioXQtd]],TabelaVendas1__2[[#This Row],[Percentual_Lucro]])</f>
        <v>1500</v>
      </c>
      <c r="L218">
        <v>3750</v>
      </c>
      <c r="M218">
        <f>PRODUCT(TabelaVendas1__2[[#This Row],[Quantidade]],TabelaVendas1__2[[#This Row],[Valor_Unitario]])</f>
        <v>3750</v>
      </c>
      <c r="N218">
        <f>SUM(TabelaVendas1__2[[#This Row],[Valor_UnitarioXQtd]],TabelaVendas1__2[[#This Row],[Valor_Lucro]])</f>
        <v>5250</v>
      </c>
      <c r="O218" s="2" t="s">
        <v>48</v>
      </c>
    </row>
    <row r="219" spans="1:15">
      <c r="A219" t="s">
        <v>91</v>
      </c>
      <c r="B219" t="s">
        <v>22</v>
      </c>
      <c r="C219" t="s">
        <v>23</v>
      </c>
      <c r="D219" t="s">
        <v>18</v>
      </c>
      <c r="E219" s="1">
        <v>43607</v>
      </c>
      <c r="F219" t="s">
        <v>27</v>
      </c>
      <c r="G219" t="str">
        <f ca="1">VLOOKUP(RAND(),{0,"Lucas";0.39,"Roberto";0.63,"Carla";0.78,"Pedro";0.93,"Emilly"},2,TRUE)</f>
        <v>Lucas</v>
      </c>
      <c r="H219">
        <v>1</v>
      </c>
      <c r="I219">
        <v>2500</v>
      </c>
      <c r="J219">
        <v>0.4</v>
      </c>
      <c r="K219">
        <f>PRODUCT(TabelaVendas1__2[[#This Row],[Valor_UnitarioXQtd]],TabelaVendas1__2[[#This Row],[Percentual_Lucro]])</f>
        <v>1000</v>
      </c>
      <c r="L219">
        <v>2500</v>
      </c>
      <c r="M219">
        <f>PRODUCT(TabelaVendas1__2[[#This Row],[Quantidade]],TabelaVendas1__2[[#This Row],[Valor_Unitario]])</f>
        <v>2500</v>
      </c>
      <c r="N219">
        <f>SUM(TabelaVendas1__2[[#This Row],[Valor_UnitarioXQtd]],TabelaVendas1__2[[#This Row],[Valor_Lucro]])</f>
        <v>3500</v>
      </c>
      <c r="O219" s="2" t="s">
        <v>20</v>
      </c>
    </row>
    <row r="220" spans="1:15">
      <c r="A220" t="s">
        <v>52</v>
      </c>
      <c r="B220" t="s">
        <v>22</v>
      </c>
      <c r="C220" t="s">
        <v>23</v>
      </c>
      <c r="D220" t="s">
        <v>18</v>
      </c>
      <c r="E220" s="1">
        <v>43607</v>
      </c>
      <c r="F220" t="s">
        <v>27</v>
      </c>
      <c r="G220" t="str">
        <f ca="1">VLOOKUP(RAND(),{0,"Lucas";0.39,"Roberto";0.63,"Carla";0.78,"Pedro";0.93,"Emilly"},2,TRUE)</f>
        <v>Pedro</v>
      </c>
      <c r="H220">
        <v>1</v>
      </c>
      <c r="I220">
        <v>5500</v>
      </c>
      <c r="J220">
        <v>0.4</v>
      </c>
      <c r="K220">
        <f>PRODUCT(TabelaVendas1__2[[#This Row],[Valor_UnitarioXQtd]],TabelaVendas1__2[[#This Row],[Percentual_Lucro]])</f>
        <v>2200</v>
      </c>
      <c r="L220">
        <v>5500</v>
      </c>
      <c r="M220">
        <f>PRODUCT(TabelaVendas1__2[[#This Row],[Quantidade]],TabelaVendas1__2[[#This Row],[Valor_Unitario]])</f>
        <v>5500</v>
      </c>
      <c r="N220">
        <f>SUM(TabelaVendas1__2[[#This Row],[Valor_UnitarioXQtd]],TabelaVendas1__2[[#This Row],[Valor_Lucro]])</f>
        <v>7700</v>
      </c>
      <c r="O220" s="2" t="s">
        <v>20</v>
      </c>
    </row>
    <row r="221" spans="1:15">
      <c r="A221" t="s">
        <v>64</v>
      </c>
      <c r="B221" t="s">
        <v>22</v>
      </c>
      <c r="C221" t="s">
        <v>23</v>
      </c>
      <c r="D221" t="s">
        <v>18</v>
      </c>
      <c r="E221" s="1">
        <v>43607</v>
      </c>
      <c r="F221" t="s">
        <v>30</v>
      </c>
      <c r="G221" t="str">
        <f ca="1">VLOOKUP(RAND(),{0,"Lucas";0.39,"Roberto";0.63,"Carla";0.78,"Pedro";0.93,"Emilly"},2,TRUE)</f>
        <v>Lucas</v>
      </c>
      <c r="H221">
        <v>1</v>
      </c>
      <c r="I221">
        <v>1200</v>
      </c>
      <c r="J221">
        <v>0.4</v>
      </c>
      <c r="K221">
        <f>PRODUCT(TabelaVendas1__2[[#This Row],[Valor_UnitarioXQtd]],TabelaVendas1__2[[#This Row],[Percentual_Lucro]])</f>
        <v>480</v>
      </c>
      <c r="L221">
        <v>1200</v>
      </c>
      <c r="M221">
        <f>PRODUCT(TabelaVendas1__2[[#This Row],[Quantidade]],TabelaVendas1__2[[#This Row],[Valor_Unitario]])</f>
        <v>1200</v>
      </c>
      <c r="N221">
        <f>SUM(TabelaVendas1__2[[#This Row],[Valor_UnitarioXQtd]],TabelaVendas1__2[[#This Row],[Valor_Lucro]])</f>
        <v>1680</v>
      </c>
      <c r="O221" s="2" t="s">
        <v>20</v>
      </c>
    </row>
    <row r="222" spans="1:15">
      <c r="A222" t="s">
        <v>144</v>
      </c>
      <c r="B222" t="s">
        <v>22</v>
      </c>
      <c r="C222" t="s">
        <v>23</v>
      </c>
      <c r="D222" t="s">
        <v>126</v>
      </c>
      <c r="E222" s="1">
        <v>43607</v>
      </c>
      <c r="F222" t="s">
        <v>30</v>
      </c>
      <c r="G222" t="str">
        <f ca="1">VLOOKUP(RAND(),{0,"Lucas";0.39,"Roberto";0.63,"Carla";0.78,"Pedro";0.93,"Emilly"},2,TRUE)</f>
        <v>Roberto</v>
      </c>
      <c r="H222">
        <v>1</v>
      </c>
      <c r="I222">
        <v>2200</v>
      </c>
      <c r="J222">
        <v>0.4</v>
      </c>
      <c r="K222">
        <f>PRODUCT(TabelaVendas1__2[[#This Row],[Valor_UnitarioXQtd]],TabelaVendas1__2[[#This Row],[Percentual_Lucro]])</f>
        <v>880</v>
      </c>
      <c r="L222">
        <v>2200</v>
      </c>
      <c r="M222">
        <f>PRODUCT(TabelaVendas1__2[[#This Row],[Quantidade]],TabelaVendas1__2[[#This Row],[Valor_Unitario]])</f>
        <v>2200</v>
      </c>
      <c r="N222">
        <f>SUM(TabelaVendas1__2[[#This Row],[Valor_UnitarioXQtd]],TabelaVendas1__2[[#This Row],[Valor_Lucro]])</f>
        <v>3080</v>
      </c>
      <c r="O222" s="2" t="s">
        <v>127</v>
      </c>
    </row>
    <row r="223" spans="1:15">
      <c r="A223" t="s">
        <v>168</v>
      </c>
      <c r="B223" t="s">
        <v>22</v>
      </c>
      <c r="C223" t="s">
        <v>33</v>
      </c>
      <c r="D223" t="s">
        <v>29</v>
      </c>
      <c r="E223" s="1">
        <v>43607</v>
      </c>
      <c r="F223" t="s">
        <v>19</v>
      </c>
      <c r="G223" t="str">
        <f ca="1">VLOOKUP(RAND(),{0,"Lucas";0.39,"Roberto";0.63,"Carla";0.78,"Pedro";0.93,"Emilly"},2,TRUE)</f>
        <v>Lucas</v>
      </c>
      <c r="H223">
        <v>1</v>
      </c>
      <c r="I223">
        <v>900</v>
      </c>
      <c r="J223">
        <v>0.4</v>
      </c>
      <c r="K223">
        <f>PRODUCT(TabelaVendas1__2[[#This Row],[Valor_UnitarioXQtd]],TabelaVendas1__2[[#This Row],[Percentual_Lucro]])</f>
        <v>360</v>
      </c>
      <c r="L223">
        <v>900</v>
      </c>
      <c r="M223">
        <f>PRODUCT(TabelaVendas1__2[[#This Row],[Quantidade]],TabelaVendas1__2[[#This Row],[Valor_Unitario]])</f>
        <v>900</v>
      </c>
      <c r="N223">
        <f>SUM(TabelaVendas1__2[[#This Row],[Valor_UnitarioXQtd]],TabelaVendas1__2[[#This Row],[Valor_Lucro]])</f>
        <v>1260</v>
      </c>
      <c r="O223" s="2" t="s">
        <v>31</v>
      </c>
    </row>
    <row r="224" spans="1:15">
      <c r="A224" t="s">
        <v>93</v>
      </c>
      <c r="B224" t="s">
        <v>22</v>
      </c>
      <c r="C224" t="s">
        <v>23</v>
      </c>
      <c r="D224" t="s">
        <v>34</v>
      </c>
      <c r="E224" s="1">
        <v>43607</v>
      </c>
      <c r="F224" t="s">
        <v>27</v>
      </c>
      <c r="G224" t="str">
        <f ca="1">VLOOKUP(RAND(),{0,"Lucas";0.39,"Roberto";0.63,"Carla";0.78,"Pedro";0.93,"Emilly"},2,TRUE)</f>
        <v>Roberto</v>
      </c>
      <c r="H224">
        <v>1</v>
      </c>
      <c r="I224">
        <v>1400</v>
      </c>
      <c r="J224">
        <v>0.4</v>
      </c>
      <c r="K224">
        <f>PRODUCT(TabelaVendas1__2[[#This Row],[Valor_UnitarioXQtd]],TabelaVendas1__2[[#This Row],[Percentual_Lucro]])</f>
        <v>560</v>
      </c>
      <c r="L224">
        <v>1400</v>
      </c>
      <c r="M224">
        <f>PRODUCT(TabelaVendas1__2[[#This Row],[Quantidade]],TabelaVendas1__2[[#This Row],[Valor_Unitario]])</f>
        <v>1400</v>
      </c>
      <c r="N224">
        <f>SUM(TabelaVendas1__2[[#This Row],[Valor_UnitarioXQtd]],TabelaVendas1__2[[#This Row],[Valor_Lucro]])</f>
        <v>1960</v>
      </c>
      <c r="O224" s="2" t="s">
        <v>35</v>
      </c>
    </row>
    <row r="225" spans="1:15">
      <c r="A225" t="s">
        <v>169</v>
      </c>
      <c r="B225" t="s">
        <v>22</v>
      </c>
      <c r="C225" t="s">
        <v>23</v>
      </c>
      <c r="D225" t="s">
        <v>24</v>
      </c>
      <c r="E225" s="1">
        <v>43641</v>
      </c>
      <c r="F225" t="s">
        <v>19</v>
      </c>
      <c r="G225" t="str">
        <f ca="1">VLOOKUP(RAND(),{0,"Lucas";0.39,"Roberto";0.63,"Carla";0.78,"Pedro";0.93,"Emilly"},2,TRUE)</f>
        <v>Pedro</v>
      </c>
      <c r="H225">
        <v>1</v>
      </c>
      <c r="I225">
        <v>14500</v>
      </c>
      <c r="J225">
        <v>0.4</v>
      </c>
      <c r="K225">
        <f>PRODUCT(TabelaVendas1__2[[#This Row],[Valor_UnitarioXQtd]],TabelaVendas1__2[[#This Row],[Percentual_Lucro]])</f>
        <v>5800</v>
      </c>
      <c r="L225">
        <v>14500</v>
      </c>
      <c r="M225">
        <f>PRODUCT(TabelaVendas1__2[[#This Row],[Quantidade]],TabelaVendas1__2[[#This Row],[Valor_Unitario]])</f>
        <v>14500</v>
      </c>
      <c r="N225">
        <f>SUM(TabelaVendas1__2[[#This Row],[Valor_UnitarioXQtd]],TabelaVendas1__2[[#This Row],[Valor_Lucro]])</f>
        <v>20300</v>
      </c>
      <c r="O225" s="2" t="s">
        <v>25</v>
      </c>
    </row>
    <row r="226" spans="1:15">
      <c r="A226" t="s">
        <v>170</v>
      </c>
      <c r="B226" t="s">
        <v>22</v>
      </c>
      <c r="C226" t="s">
        <v>23</v>
      </c>
      <c r="D226" t="s">
        <v>42</v>
      </c>
      <c r="E226" s="1">
        <v>43672</v>
      </c>
      <c r="F226" t="s">
        <v>27</v>
      </c>
      <c r="G226" t="str">
        <f ca="1">VLOOKUP(RAND(),{0,"Lucas";0.39,"Roberto";0.63,"Carla";0.78,"Pedro";0.93,"Emilly"},2,TRUE)</f>
        <v>Roberto</v>
      </c>
      <c r="H226">
        <v>1</v>
      </c>
      <c r="I226">
        <v>5200</v>
      </c>
      <c r="J226">
        <v>0.4</v>
      </c>
      <c r="K226">
        <f>PRODUCT(TabelaVendas1__2[[#This Row],[Valor_UnitarioXQtd]],TabelaVendas1__2[[#This Row],[Percentual_Lucro]])</f>
        <v>2080</v>
      </c>
      <c r="L226">
        <v>5200</v>
      </c>
      <c r="M226">
        <f>PRODUCT(TabelaVendas1__2[[#This Row],[Quantidade]],TabelaVendas1__2[[#This Row],[Valor_Unitario]])</f>
        <v>5200</v>
      </c>
      <c r="N226">
        <f>SUM(TabelaVendas1__2[[#This Row],[Valor_UnitarioXQtd]],TabelaVendas1__2[[#This Row],[Valor_Lucro]])</f>
        <v>7280</v>
      </c>
      <c r="O226" s="2" t="s">
        <v>43</v>
      </c>
    </row>
    <row r="227" spans="1:15">
      <c r="A227" t="s">
        <v>91</v>
      </c>
      <c r="B227" t="s">
        <v>22</v>
      </c>
      <c r="C227" t="s">
        <v>23</v>
      </c>
      <c r="D227" t="s">
        <v>18</v>
      </c>
      <c r="E227" s="1">
        <v>43672</v>
      </c>
      <c r="F227" t="s">
        <v>19</v>
      </c>
      <c r="G227" t="str">
        <f ca="1">VLOOKUP(RAND(),{0,"Lucas";0.39,"Roberto";0.63,"Carla";0.78,"Pedro";0.93,"Emilly"},2,TRUE)</f>
        <v>Lucas</v>
      </c>
      <c r="H227">
        <v>1</v>
      </c>
      <c r="I227">
        <v>3200</v>
      </c>
      <c r="J227">
        <v>0.4</v>
      </c>
      <c r="K227">
        <f>PRODUCT(TabelaVendas1__2[[#This Row],[Valor_UnitarioXQtd]],TabelaVendas1__2[[#This Row],[Percentual_Lucro]])</f>
        <v>1280</v>
      </c>
      <c r="L227">
        <v>3200</v>
      </c>
      <c r="M227">
        <f>PRODUCT(TabelaVendas1__2[[#This Row],[Quantidade]],TabelaVendas1__2[[#This Row],[Valor_Unitario]])</f>
        <v>3200</v>
      </c>
      <c r="N227">
        <f>SUM(TabelaVendas1__2[[#This Row],[Valor_UnitarioXQtd]],TabelaVendas1__2[[#This Row],[Valor_Lucro]])</f>
        <v>4480</v>
      </c>
      <c r="O227" s="2" t="s">
        <v>20</v>
      </c>
    </row>
    <row r="228" spans="1:15">
      <c r="A228" t="s">
        <v>158</v>
      </c>
      <c r="B228" t="s">
        <v>22</v>
      </c>
      <c r="C228" t="s">
        <v>23</v>
      </c>
      <c r="D228" t="s">
        <v>18</v>
      </c>
      <c r="E228" s="1">
        <v>43672</v>
      </c>
      <c r="F228" t="s">
        <v>30</v>
      </c>
      <c r="G228" t="str">
        <f ca="1">VLOOKUP(RAND(),{0,"Lucas";0.39,"Roberto";0.63,"Carla";0.78,"Pedro";0.93,"Emilly"},2,TRUE)</f>
        <v>Pedro</v>
      </c>
      <c r="H228">
        <v>1</v>
      </c>
      <c r="I228">
        <v>1100</v>
      </c>
      <c r="J228">
        <v>0.4</v>
      </c>
      <c r="K228">
        <f>PRODUCT(TabelaVendas1__2[[#This Row],[Valor_UnitarioXQtd]],TabelaVendas1__2[[#This Row],[Percentual_Lucro]])</f>
        <v>440</v>
      </c>
      <c r="L228">
        <v>1100</v>
      </c>
      <c r="M228">
        <f>PRODUCT(TabelaVendas1__2[[#This Row],[Quantidade]],TabelaVendas1__2[[#This Row],[Valor_Unitario]])</f>
        <v>1100</v>
      </c>
      <c r="N228">
        <f>SUM(TabelaVendas1__2[[#This Row],[Valor_UnitarioXQtd]],TabelaVendas1__2[[#This Row],[Valor_Lucro]])</f>
        <v>1540</v>
      </c>
      <c r="O228" s="2" t="s">
        <v>20</v>
      </c>
    </row>
    <row r="229" spans="1:15">
      <c r="A229" t="s">
        <v>143</v>
      </c>
      <c r="B229" t="s">
        <v>22</v>
      </c>
      <c r="C229" t="s">
        <v>23</v>
      </c>
      <c r="D229" t="s">
        <v>29</v>
      </c>
      <c r="E229" s="1">
        <v>43672</v>
      </c>
      <c r="F229" t="s">
        <v>19</v>
      </c>
      <c r="G229" t="str">
        <f ca="1">VLOOKUP(RAND(),{0,"Lucas";0.39,"Roberto";0.63,"Carla";0.78,"Pedro";0.93,"Emilly"},2,TRUE)</f>
        <v>Carla</v>
      </c>
      <c r="H229">
        <v>1</v>
      </c>
      <c r="I229">
        <v>4300</v>
      </c>
      <c r="J229">
        <v>0.4</v>
      </c>
      <c r="K229">
        <f>PRODUCT(TabelaVendas1__2[[#This Row],[Valor_UnitarioXQtd]],TabelaVendas1__2[[#This Row],[Percentual_Lucro]])</f>
        <v>1720</v>
      </c>
      <c r="L229">
        <v>4300</v>
      </c>
      <c r="M229">
        <f>PRODUCT(TabelaVendas1__2[[#This Row],[Quantidade]],TabelaVendas1__2[[#This Row],[Valor_Unitario]])</f>
        <v>4300</v>
      </c>
      <c r="N229">
        <f>SUM(TabelaVendas1__2[[#This Row],[Valor_UnitarioXQtd]],TabelaVendas1__2[[#This Row],[Valor_Lucro]])</f>
        <v>6020</v>
      </c>
      <c r="O229" s="2" t="s">
        <v>31</v>
      </c>
    </row>
    <row r="230" spans="1:15">
      <c r="A230" t="s">
        <v>82</v>
      </c>
      <c r="B230" t="s">
        <v>22</v>
      </c>
      <c r="C230" t="s">
        <v>23</v>
      </c>
      <c r="D230" t="s">
        <v>18</v>
      </c>
      <c r="E230" s="1">
        <v>43699</v>
      </c>
      <c r="F230" t="s">
        <v>27</v>
      </c>
      <c r="G230" t="str">
        <f ca="1">VLOOKUP(RAND(),{0,"Lucas";0.39,"Roberto";0.63,"Carla";0.78,"Pedro";0.93,"Emilly"},2,TRUE)</f>
        <v>Roberto</v>
      </c>
      <c r="H230">
        <v>1</v>
      </c>
      <c r="I230">
        <v>8000</v>
      </c>
      <c r="J230">
        <v>0.4</v>
      </c>
      <c r="K230">
        <f>PRODUCT(TabelaVendas1__2[[#This Row],[Valor_UnitarioXQtd]],TabelaVendas1__2[[#This Row],[Percentual_Lucro]])</f>
        <v>3200</v>
      </c>
      <c r="L230">
        <v>8000</v>
      </c>
      <c r="M230">
        <f>PRODUCT(TabelaVendas1__2[[#This Row],[Quantidade]],TabelaVendas1__2[[#This Row],[Valor_Unitario]])</f>
        <v>8000</v>
      </c>
      <c r="N230">
        <f>SUM(TabelaVendas1__2[[#This Row],[Valor_UnitarioXQtd]],TabelaVendas1__2[[#This Row],[Valor_Lucro]])</f>
        <v>11200</v>
      </c>
      <c r="O230" s="2" t="s">
        <v>20</v>
      </c>
    </row>
    <row r="231" spans="1:15">
      <c r="A231" t="s">
        <v>53</v>
      </c>
      <c r="B231" t="s">
        <v>22</v>
      </c>
      <c r="C231" t="s">
        <v>23</v>
      </c>
      <c r="D231" t="s">
        <v>54</v>
      </c>
      <c r="E231" s="1">
        <v>43699</v>
      </c>
      <c r="F231" t="s">
        <v>30</v>
      </c>
      <c r="G231" t="str">
        <f ca="1">VLOOKUP(RAND(),{0,"Lucas";0.39,"Roberto";0.63,"Carla";0.78,"Pedro";0.93,"Emilly"},2,TRUE)</f>
        <v>Lucas</v>
      </c>
      <c r="H231">
        <v>1</v>
      </c>
      <c r="I231">
        <v>6000</v>
      </c>
      <c r="J231">
        <v>0.4</v>
      </c>
      <c r="K231">
        <f>PRODUCT(TabelaVendas1__2[[#This Row],[Valor_UnitarioXQtd]],TabelaVendas1__2[[#This Row],[Percentual_Lucro]])</f>
        <v>2400</v>
      </c>
      <c r="L231">
        <v>6000</v>
      </c>
      <c r="M231">
        <f>PRODUCT(TabelaVendas1__2[[#This Row],[Quantidade]],TabelaVendas1__2[[#This Row],[Valor_Unitario]])</f>
        <v>6000</v>
      </c>
      <c r="N231">
        <f>SUM(TabelaVendas1__2[[#This Row],[Valor_UnitarioXQtd]],TabelaVendas1__2[[#This Row],[Valor_Lucro]])</f>
        <v>8400</v>
      </c>
      <c r="O231" s="2" t="s">
        <v>55</v>
      </c>
    </row>
    <row r="232" spans="1:15">
      <c r="A232" t="s">
        <v>91</v>
      </c>
      <c r="B232" t="s">
        <v>22</v>
      </c>
      <c r="C232" t="s">
        <v>23</v>
      </c>
      <c r="D232" t="s">
        <v>18</v>
      </c>
      <c r="E232" s="1">
        <v>43735</v>
      </c>
      <c r="F232" t="s">
        <v>30</v>
      </c>
      <c r="G232" t="str">
        <f ca="1">VLOOKUP(RAND(),{0,"Lucas";0.39,"Roberto";0.63,"Carla";0.78,"Pedro";0.93,"Emilly"},2,TRUE)</f>
        <v>Pedro</v>
      </c>
      <c r="H232">
        <v>1</v>
      </c>
      <c r="I232">
        <v>4200</v>
      </c>
      <c r="J232">
        <v>0.4</v>
      </c>
      <c r="K232">
        <f>PRODUCT(TabelaVendas1__2[[#This Row],[Valor_UnitarioXQtd]],TabelaVendas1__2[[#This Row],[Percentual_Lucro]])</f>
        <v>1680</v>
      </c>
      <c r="L232">
        <v>4200</v>
      </c>
      <c r="M232">
        <f>PRODUCT(TabelaVendas1__2[[#This Row],[Quantidade]],TabelaVendas1__2[[#This Row],[Valor_Unitario]])</f>
        <v>4200</v>
      </c>
      <c r="N232">
        <f>SUM(TabelaVendas1__2[[#This Row],[Valor_UnitarioXQtd]],TabelaVendas1__2[[#This Row],[Valor_Lucro]])</f>
        <v>5880</v>
      </c>
      <c r="O232" s="2" t="s">
        <v>20</v>
      </c>
    </row>
    <row r="233" spans="1:15">
      <c r="A233" t="s">
        <v>91</v>
      </c>
      <c r="B233" t="s">
        <v>22</v>
      </c>
      <c r="C233" t="s">
        <v>23</v>
      </c>
      <c r="D233" t="s">
        <v>18</v>
      </c>
      <c r="E233" s="1">
        <v>43735</v>
      </c>
      <c r="F233" t="s">
        <v>27</v>
      </c>
      <c r="G233" t="str">
        <f ca="1">VLOOKUP(RAND(),{0,"Lucas";0.39,"Roberto";0.63,"Carla";0.78,"Pedro";0.93,"Emilly"},2,TRUE)</f>
        <v>Roberto</v>
      </c>
      <c r="H233">
        <v>1</v>
      </c>
      <c r="I233">
        <v>3300</v>
      </c>
      <c r="J233">
        <v>0.4</v>
      </c>
      <c r="K233">
        <f>PRODUCT(TabelaVendas1__2[[#This Row],[Valor_UnitarioXQtd]],TabelaVendas1__2[[#This Row],[Percentual_Lucro]])</f>
        <v>1320</v>
      </c>
      <c r="L233">
        <v>3300</v>
      </c>
      <c r="M233">
        <f>PRODUCT(TabelaVendas1__2[[#This Row],[Quantidade]],TabelaVendas1__2[[#This Row],[Valor_Unitario]])</f>
        <v>3300</v>
      </c>
      <c r="N233">
        <f>SUM(TabelaVendas1__2[[#This Row],[Valor_UnitarioXQtd]],TabelaVendas1__2[[#This Row],[Valor_Lucro]])</f>
        <v>4620</v>
      </c>
      <c r="O233" s="2" t="s">
        <v>20</v>
      </c>
    </row>
    <row r="234" spans="1:15">
      <c r="A234" t="s">
        <v>144</v>
      </c>
      <c r="B234" t="s">
        <v>22</v>
      </c>
      <c r="C234" t="s">
        <v>23</v>
      </c>
      <c r="D234" t="s">
        <v>126</v>
      </c>
      <c r="E234" s="1">
        <v>43735</v>
      </c>
      <c r="F234" t="s">
        <v>27</v>
      </c>
      <c r="G234" t="str">
        <f ca="1">VLOOKUP(RAND(),{0,"Lucas";0.39,"Roberto";0.63,"Carla";0.78,"Pedro";0.93,"Emilly"},2,TRUE)</f>
        <v>Carla</v>
      </c>
      <c r="H234">
        <v>1</v>
      </c>
      <c r="I234">
        <v>1200</v>
      </c>
      <c r="J234">
        <v>0.4</v>
      </c>
      <c r="K234">
        <f>PRODUCT(TabelaVendas1__2[[#This Row],[Valor_UnitarioXQtd]],TabelaVendas1__2[[#This Row],[Percentual_Lucro]])</f>
        <v>480</v>
      </c>
      <c r="L234">
        <v>1200</v>
      </c>
      <c r="M234">
        <f>PRODUCT(TabelaVendas1__2[[#This Row],[Quantidade]],TabelaVendas1__2[[#This Row],[Valor_Unitario]])</f>
        <v>1200</v>
      </c>
      <c r="N234">
        <f>SUM(TabelaVendas1__2[[#This Row],[Valor_UnitarioXQtd]],TabelaVendas1__2[[#This Row],[Valor_Lucro]])</f>
        <v>1680</v>
      </c>
      <c r="O234" s="2" t="s">
        <v>127</v>
      </c>
    </row>
    <row r="235" spans="1:15">
      <c r="A235" t="s">
        <v>143</v>
      </c>
      <c r="B235" t="s">
        <v>22</v>
      </c>
      <c r="C235" t="s">
        <v>23</v>
      </c>
      <c r="D235" t="s">
        <v>29</v>
      </c>
      <c r="E235" s="1">
        <v>43735</v>
      </c>
      <c r="F235" t="s">
        <v>30</v>
      </c>
      <c r="G235" t="str">
        <f ca="1">VLOOKUP(RAND(),{0,"Lucas";0.39,"Roberto";0.63,"Carla";0.78,"Pedro";0.93,"Emilly"},2,TRUE)</f>
        <v>Lucas</v>
      </c>
      <c r="H235">
        <v>1</v>
      </c>
      <c r="I235">
        <v>4500</v>
      </c>
      <c r="J235">
        <v>0.4</v>
      </c>
      <c r="K235">
        <f>PRODUCT(TabelaVendas1__2[[#This Row],[Valor_UnitarioXQtd]],TabelaVendas1__2[[#This Row],[Percentual_Lucro]])</f>
        <v>1800</v>
      </c>
      <c r="L235">
        <v>4500</v>
      </c>
      <c r="M235">
        <f>PRODUCT(TabelaVendas1__2[[#This Row],[Quantidade]],TabelaVendas1__2[[#This Row],[Valor_Unitario]])</f>
        <v>4500</v>
      </c>
      <c r="N235">
        <f>SUM(TabelaVendas1__2[[#This Row],[Valor_UnitarioXQtd]],TabelaVendas1__2[[#This Row],[Valor_Lucro]])</f>
        <v>6300</v>
      </c>
      <c r="O235" s="2" t="s">
        <v>31</v>
      </c>
    </row>
    <row r="236" spans="1:15">
      <c r="A236" t="s">
        <v>102</v>
      </c>
      <c r="B236" t="s">
        <v>22</v>
      </c>
      <c r="C236" t="s">
        <v>23</v>
      </c>
      <c r="D236" t="s">
        <v>75</v>
      </c>
      <c r="E236" s="1">
        <v>43767</v>
      </c>
      <c r="F236" t="s">
        <v>30</v>
      </c>
      <c r="G236" t="str">
        <f ca="1">VLOOKUP(RAND(),{0,"Lucas";0.39,"Roberto";0.63,"Carla";0.78,"Pedro";0.93,"Emilly"},2,TRUE)</f>
        <v>Roberto</v>
      </c>
      <c r="H236">
        <v>1</v>
      </c>
      <c r="I236">
        <v>2900</v>
      </c>
      <c r="J236">
        <v>0.4</v>
      </c>
      <c r="K236">
        <f>PRODUCT(TabelaVendas1__2[[#This Row],[Valor_UnitarioXQtd]],TabelaVendas1__2[[#This Row],[Percentual_Lucro]])</f>
        <v>1160</v>
      </c>
      <c r="L236">
        <v>2900</v>
      </c>
      <c r="M236">
        <f>PRODUCT(TabelaVendas1__2[[#This Row],[Quantidade]],TabelaVendas1__2[[#This Row],[Valor_Unitario]])</f>
        <v>2900</v>
      </c>
      <c r="N236">
        <f>SUM(TabelaVendas1__2[[#This Row],[Valor_UnitarioXQtd]],TabelaVendas1__2[[#This Row],[Valor_Lucro]])</f>
        <v>4060</v>
      </c>
      <c r="O236" s="2" t="s">
        <v>76</v>
      </c>
    </row>
    <row r="237" spans="1:15">
      <c r="A237" t="s">
        <v>52</v>
      </c>
      <c r="B237" t="s">
        <v>22</v>
      </c>
      <c r="C237" t="s">
        <v>23</v>
      </c>
      <c r="D237" t="s">
        <v>18</v>
      </c>
      <c r="E237" s="1">
        <v>43767</v>
      </c>
      <c r="F237" t="s">
        <v>19</v>
      </c>
      <c r="G237" t="str">
        <f ca="1">VLOOKUP(RAND(),{0,"Lucas";0.39,"Roberto";0.63,"Carla";0.78,"Pedro";0.93,"Emilly"},2,TRUE)</f>
        <v>Lucas</v>
      </c>
      <c r="H237">
        <v>1</v>
      </c>
      <c r="I237">
        <v>11500</v>
      </c>
      <c r="J237">
        <v>0.4</v>
      </c>
      <c r="K237">
        <f>PRODUCT(TabelaVendas1__2[[#This Row],[Valor_UnitarioXQtd]],TabelaVendas1__2[[#This Row],[Percentual_Lucro]])</f>
        <v>4600</v>
      </c>
      <c r="L237">
        <v>11500</v>
      </c>
      <c r="M237">
        <f>PRODUCT(TabelaVendas1__2[[#This Row],[Quantidade]],TabelaVendas1__2[[#This Row],[Valor_Unitario]])</f>
        <v>11500</v>
      </c>
      <c r="N237">
        <f>SUM(TabelaVendas1__2[[#This Row],[Valor_UnitarioXQtd]],TabelaVendas1__2[[#This Row],[Valor_Lucro]])</f>
        <v>16100</v>
      </c>
      <c r="O237" s="2" t="s">
        <v>20</v>
      </c>
    </row>
    <row r="238" spans="1:15">
      <c r="A238" t="s">
        <v>145</v>
      </c>
      <c r="B238" t="s">
        <v>22</v>
      </c>
      <c r="C238" t="s">
        <v>23</v>
      </c>
      <c r="D238" t="s">
        <v>146</v>
      </c>
      <c r="E238" s="1">
        <v>43767</v>
      </c>
      <c r="F238" t="s">
        <v>30</v>
      </c>
      <c r="G238" t="str">
        <f ca="1">VLOOKUP(RAND(),{0,"Lucas";0.39,"Roberto";0.63,"Carla";0.78,"Pedro";0.93,"Emilly"},2,TRUE)</f>
        <v>Pedro</v>
      </c>
      <c r="H238">
        <v>1</v>
      </c>
      <c r="I238">
        <v>2200</v>
      </c>
      <c r="J238">
        <v>0.4</v>
      </c>
      <c r="K238">
        <f>PRODUCT(TabelaVendas1__2[[#This Row],[Valor_UnitarioXQtd]],TabelaVendas1__2[[#This Row],[Percentual_Lucro]])</f>
        <v>880</v>
      </c>
      <c r="L238">
        <v>2200</v>
      </c>
      <c r="M238">
        <f>PRODUCT(TabelaVendas1__2[[#This Row],[Quantidade]],TabelaVendas1__2[[#This Row],[Valor_Unitario]])</f>
        <v>2200</v>
      </c>
      <c r="N238">
        <f>SUM(TabelaVendas1__2[[#This Row],[Valor_UnitarioXQtd]],TabelaVendas1__2[[#This Row],[Valor_Lucro]])</f>
        <v>3080</v>
      </c>
      <c r="O238" s="2" t="s">
        <v>147</v>
      </c>
    </row>
    <row r="239" spans="1:15">
      <c r="A239" t="s">
        <v>164</v>
      </c>
      <c r="B239" t="s">
        <v>22</v>
      </c>
      <c r="C239" t="s">
        <v>23</v>
      </c>
      <c r="D239" t="s">
        <v>54</v>
      </c>
      <c r="E239" s="1">
        <v>43767</v>
      </c>
      <c r="F239" t="s">
        <v>19</v>
      </c>
      <c r="G239" t="str">
        <f ca="1">VLOOKUP(RAND(),{0,"Lucas";0.39,"Roberto";0.63,"Carla";0.78,"Pedro";0.93,"Emilly"},2,TRUE)</f>
        <v>Lucas</v>
      </c>
      <c r="H239">
        <v>1</v>
      </c>
      <c r="I239">
        <v>6000</v>
      </c>
      <c r="J239">
        <v>0.4</v>
      </c>
      <c r="K239">
        <f>PRODUCT(TabelaVendas1__2[[#This Row],[Valor_UnitarioXQtd]],TabelaVendas1__2[[#This Row],[Percentual_Lucro]])</f>
        <v>2400</v>
      </c>
      <c r="L239">
        <v>6000</v>
      </c>
      <c r="M239">
        <f>PRODUCT(TabelaVendas1__2[[#This Row],[Quantidade]],TabelaVendas1__2[[#This Row],[Valor_Unitario]])</f>
        <v>6000</v>
      </c>
      <c r="N239">
        <f>SUM(TabelaVendas1__2[[#This Row],[Valor_UnitarioXQtd]],TabelaVendas1__2[[#This Row],[Valor_Lucro]])</f>
        <v>8400</v>
      </c>
      <c r="O239" s="2" t="s">
        <v>55</v>
      </c>
    </row>
    <row r="240" spans="1:15">
      <c r="A240" t="s">
        <v>96</v>
      </c>
      <c r="B240" t="s">
        <v>22</v>
      </c>
      <c r="C240" t="s">
        <v>23</v>
      </c>
      <c r="D240" t="s">
        <v>97</v>
      </c>
      <c r="E240" s="1">
        <v>43788</v>
      </c>
      <c r="F240" t="s">
        <v>27</v>
      </c>
      <c r="G240" t="str">
        <f ca="1">VLOOKUP(RAND(),{0,"Lucas";0.39,"Roberto";0.63,"Carla";0.78,"Pedro";0.93,"Emilly"},2,TRUE)</f>
        <v>Roberto</v>
      </c>
      <c r="H240">
        <v>1</v>
      </c>
      <c r="I240">
        <v>215</v>
      </c>
      <c r="J240">
        <v>0.4</v>
      </c>
      <c r="K240">
        <f>PRODUCT(TabelaVendas1__2[[#This Row],[Valor_UnitarioXQtd]],TabelaVendas1__2[[#This Row],[Percentual_Lucro]])</f>
        <v>86</v>
      </c>
      <c r="L240">
        <v>215</v>
      </c>
      <c r="M240">
        <f>PRODUCT(TabelaVendas1__2[[#This Row],[Quantidade]],TabelaVendas1__2[[#This Row],[Valor_Unitario]])</f>
        <v>215</v>
      </c>
      <c r="N240">
        <f>SUM(TabelaVendas1__2[[#This Row],[Valor_UnitarioXQtd]],TabelaVendas1__2[[#This Row],[Valor_Lucro]])</f>
        <v>301</v>
      </c>
      <c r="O240" s="2" t="s">
        <v>98</v>
      </c>
    </row>
    <row r="241" spans="1:15">
      <c r="A241" t="s">
        <v>171</v>
      </c>
      <c r="B241" t="s">
        <v>22</v>
      </c>
      <c r="C241" t="s">
        <v>23</v>
      </c>
      <c r="D241" t="s">
        <v>18</v>
      </c>
      <c r="E241" s="1">
        <v>43788</v>
      </c>
      <c r="F241" t="s">
        <v>19</v>
      </c>
      <c r="G241" t="str">
        <f ca="1">VLOOKUP(RAND(),{0,"Lucas";0.39,"Roberto";0.63,"Carla";0.78,"Pedro";0.93,"Emilly"},2,TRUE)</f>
        <v>Carla</v>
      </c>
      <c r="H241">
        <v>1</v>
      </c>
      <c r="I241">
        <v>700</v>
      </c>
      <c r="J241">
        <v>0.4</v>
      </c>
      <c r="K241">
        <f>PRODUCT(TabelaVendas1__2[[#This Row],[Valor_UnitarioXQtd]],TabelaVendas1__2[[#This Row],[Percentual_Lucro]])</f>
        <v>280</v>
      </c>
      <c r="L241">
        <v>700</v>
      </c>
      <c r="M241">
        <f>PRODUCT(TabelaVendas1__2[[#This Row],[Quantidade]],TabelaVendas1__2[[#This Row],[Valor_Unitario]])</f>
        <v>700</v>
      </c>
      <c r="N241">
        <f>SUM(TabelaVendas1__2[[#This Row],[Valor_UnitarioXQtd]],TabelaVendas1__2[[#This Row],[Valor_Lucro]])</f>
        <v>980</v>
      </c>
      <c r="O241" s="2" t="s">
        <v>20</v>
      </c>
    </row>
    <row r="242" spans="1:15">
      <c r="A242" t="s">
        <v>172</v>
      </c>
      <c r="B242" t="s">
        <v>22</v>
      </c>
      <c r="C242" t="s">
        <v>23</v>
      </c>
      <c r="D242" t="s">
        <v>18</v>
      </c>
      <c r="E242" s="1">
        <v>43788</v>
      </c>
      <c r="F242" t="s">
        <v>30</v>
      </c>
      <c r="G242" t="str">
        <f ca="1">VLOOKUP(RAND(),{0,"Lucas";0.39,"Roberto";0.63,"Carla";0.78,"Pedro";0.93,"Emilly"},2,TRUE)</f>
        <v>Lucas</v>
      </c>
      <c r="H242">
        <v>1</v>
      </c>
      <c r="I242">
        <v>685</v>
      </c>
      <c r="J242">
        <v>0.4</v>
      </c>
      <c r="K242">
        <f>PRODUCT(TabelaVendas1__2[[#This Row],[Valor_UnitarioXQtd]],TabelaVendas1__2[[#This Row],[Percentual_Lucro]])</f>
        <v>274</v>
      </c>
      <c r="L242">
        <v>685</v>
      </c>
      <c r="M242">
        <f>PRODUCT(TabelaVendas1__2[[#This Row],[Quantidade]],TabelaVendas1__2[[#This Row],[Valor_Unitario]])</f>
        <v>685</v>
      </c>
      <c r="N242">
        <f>SUM(TabelaVendas1__2[[#This Row],[Valor_UnitarioXQtd]],TabelaVendas1__2[[#This Row],[Valor_Lucro]])</f>
        <v>959</v>
      </c>
      <c r="O242" s="2" t="s">
        <v>20</v>
      </c>
    </row>
    <row r="243" spans="1:15">
      <c r="A243" t="s">
        <v>64</v>
      </c>
      <c r="B243" t="s">
        <v>22</v>
      </c>
      <c r="C243" t="s">
        <v>23</v>
      </c>
      <c r="D243" t="s">
        <v>18</v>
      </c>
      <c r="E243" s="1">
        <v>43788</v>
      </c>
      <c r="F243" t="s">
        <v>27</v>
      </c>
      <c r="G243" t="str">
        <f ca="1">VLOOKUP(RAND(),{0,"Lucas";0.39,"Roberto";0.63,"Carla";0.78,"Pedro";0.93,"Emilly"},2,TRUE)</f>
        <v>Carla</v>
      </c>
      <c r="H243">
        <v>1</v>
      </c>
      <c r="I243">
        <v>3600</v>
      </c>
      <c r="J243">
        <v>0.4</v>
      </c>
      <c r="K243">
        <f>PRODUCT(TabelaVendas1__2[[#This Row],[Valor_UnitarioXQtd]],TabelaVendas1__2[[#This Row],[Percentual_Lucro]])</f>
        <v>1440</v>
      </c>
      <c r="L243">
        <v>3600</v>
      </c>
      <c r="M243">
        <f>PRODUCT(TabelaVendas1__2[[#This Row],[Quantidade]],TabelaVendas1__2[[#This Row],[Valor_Unitario]])</f>
        <v>3600</v>
      </c>
      <c r="N243">
        <f>SUM(TabelaVendas1__2[[#This Row],[Valor_UnitarioXQtd]],TabelaVendas1__2[[#This Row],[Valor_Lucro]])</f>
        <v>5040</v>
      </c>
      <c r="O243" s="2" t="s">
        <v>20</v>
      </c>
    </row>
    <row r="244" spans="1:15">
      <c r="A244" t="s">
        <v>173</v>
      </c>
      <c r="B244" t="s">
        <v>22</v>
      </c>
      <c r="C244" t="s">
        <v>23</v>
      </c>
      <c r="D244" t="s">
        <v>29</v>
      </c>
      <c r="E244" s="1">
        <v>43788</v>
      </c>
      <c r="F244" t="s">
        <v>19</v>
      </c>
      <c r="G244" t="str">
        <f ca="1">VLOOKUP(RAND(),{0,"Lucas";0.39,"Roberto";0.63,"Carla";0.78,"Pedro";0.93,"Emilly"},2,TRUE)</f>
        <v>Lucas</v>
      </c>
      <c r="H244">
        <v>1</v>
      </c>
      <c r="I244">
        <v>1700</v>
      </c>
      <c r="J244">
        <v>0.4</v>
      </c>
      <c r="K244">
        <f>PRODUCT(TabelaVendas1__2[[#This Row],[Valor_UnitarioXQtd]],TabelaVendas1__2[[#This Row],[Percentual_Lucro]])</f>
        <v>680</v>
      </c>
      <c r="L244">
        <v>1700</v>
      </c>
      <c r="M244">
        <f>PRODUCT(TabelaVendas1__2[[#This Row],[Quantidade]],TabelaVendas1__2[[#This Row],[Valor_Unitario]])</f>
        <v>1700</v>
      </c>
      <c r="N244">
        <f>SUM(TabelaVendas1__2[[#This Row],[Valor_UnitarioXQtd]],TabelaVendas1__2[[#This Row],[Valor_Lucro]])</f>
        <v>2380</v>
      </c>
      <c r="O244" s="2" t="s">
        <v>31</v>
      </c>
    </row>
    <row r="245" spans="1:15">
      <c r="A245" t="s">
        <v>174</v>
      </c>
      <c r="B245" t="s">
        <v>22</v>
      </c>
      <c r="C245" t="s">
        <v>23</v>
      </c>
      <c r="D245" t="s">
        <v>34</v>
      </c>
      <c r="E245" s="1">
        <v>43788</v>
      </c>
      <c r="F245" t="s">
        <v>19</v>
      </c>
      <c r="G245" t="str">
        <f ca="1">VLOOKUP(RAND(),{0,"Lucas";0.39,"Roberto";0.63,"Carla";0.78,"Pedro";0.93,"Emilly"},2,TRUE)</f>
        <v>Roberto</v>
      </c>
      <c r="H245">
        <v>1</v>
      </c>
      <c r="I245">
        <v>550</v>
      </c>
      <c r="J245">
        <v>0.4</v>
      </c>
      <c r="K245">
        <f>PRODUCT(TabelaVendas1__2[[#This Row],[Valor_UnitarioXQtd]],TabelaVendas1__2[[#This Row],[Percentual_Lucro]])</f>
        <v>220</v>
      </c>
      <c r="L245">
        <v>550</v>
      </c>
      <c r="M245">
        <f>PRODUCT(TabelaVendas1__2[[#This Row],[Quantidade]],TabelaVendas1__2[[#This Row],[Valor_Unitario]])</f>
        <v>550</v>
      </c>
      <c r="N245">
        <f>SUM(TabelaVendas1__2[[#This Row],[Valor_UnitarioXQtd]],TabelaVendas1__2[[#This Row],[Valor_Lucro]])</f>
        <v>770</v>
      </c>
      <c r="O245" s="2" t="s">
        <v>35</v>
      </c>
    </row>
    <row r="246" spans="1:15">
      <c r="A246" t="s">
        <v>175</v>
      </c>
      <c r="B246" t="s">
        <v>16</v>
      </c>
      <c r="C246" t="s">
        <v>17</v>
      </c>
      <c r="D246" t="s">
        <v>34</v>
      </c>
      <c r="E246" s="1">
        <v>43788</v>
      </c>
      <c r="F246" t="s">
        <v>27</v>
      </c>
      <c r="G246" t="str">
        <f ca="1">VLOOKUP(RAND(),{0,"Lucas";0.39,"Roberto";0.63,"Carla";0.78,"Pedro";0.93,"Emilly"},2,TRUE)</f>
        <v>Carla</v>
      </c>
      <c r="H246">
        <v>1</v>
      </c>
      <c r="I246">
        <v>2690</v>
      </c>
      <c r="J246">
        <v>0.4</v>
      </c>
      <c r="K246">
        <f>PRODUCT(TabelaVendas1__2[[#This Row],[Valor_UnitarioXQtd]],TabelaVendas1__2[[#This Row],[Percentual_Lucro]])</f>
        <v>1076</v>
      </c>
      <c r="L246">
        <v>2690</v>
      </c>
      <c r="M246">
        <f>PRODUCT(TabelaVendas1__2[[#This Row],[Quantidade]],TabelaVendas1__2[[#This Row],[Valor_Unitario]])</f>
        <v>2690</v>
      </c>
      <c r="N246">
        <f>SUM(TabelaVendas1__2[[#This Row],[Valor_UnitarioXQtd]],TabelaVendas1__2[[#This Row],[Valor_Lucro]])</f>
        <v>3766</v>
      </c>
      <c r="O246" s="2" t="s">
        <v>35</v>
      </c>
    </row>
    <row r="247" spans="1:15">
      <c r="A247" t="s">
        <v>176</v>
      </c>
      <c r="B247" t="s">
        <v>22</v>
      </c>
      <c r="C247" t="s">
        <v>33</v>
      </c>
      <c r="D247" t="s">
        <v>34</v>
      </c>
      <c r="E247" s="1">
        <v>43788</v>
      </c>
      <c r="F247" t="s">
        <v>19</v>
      </c>
      <c r="G247" t="str">
        <f ca="1">VLOOKUP(RAND(),{0,"Lucas";0.39,"Roberto";0.63,"Carla";0.78,"Pedro";0.93,"Emilly"},2,TRUE)</f>
        <v>Emilly</v>
      </c>
      <c r="H247">
        <v>1</v>
      </c>
      <c r="I247">
        <v>540</v>
      </c>
      <c r="J247">
        <v>0.4</v>
      </c>
      <c r="K247">
        <f>PRODUCT(TabelaVendas1__2[[#This Row],[Valor_UnitarioXQtd]],TabelaVendas1__2[[#This Row],[Percentual_Lucro]])</f>
        <v>216</v>
      </c>
      <c r="L247">
        <v>540</v>
      </c>
      <c r="M247">
        <f>PRODUCT(TabelaVendas1__2[[#This Row],[Quantidade]],TabelaVendas1__2[[#This Row],[Valor_Unitario]])</f>
        <v>540</v>
      </c>
      <c r="N247">
        <f>SUM(TabelaVendas1__2[[#This Row],[Valor_UnitarioXQtd]],TabelaVendas1__2[[#This Row],[Valor_Lucro]])</f>
        <v>756</v>
      </c>
      <c r="O247" s="2" t="s">
        <v>35</v>
      </c>
    </row>
    <row r="248" spans="1:15">
      <c r="A248" t="s">
        <v>177</v>
      </c>
      <c r="B248" t="s">
        <v>22</v>
      </c>
      <c r="C248" t="s">
        <v>23</v>
      </c>
      <c r="D248" t="s">
        <v>75</v>
      </c>
      <c r="E248" s="1">
        <v>43825</v>
      </c>
      <c r="F248" t="s">
        <v>19</v>
      </c>
      <c r="G248" t="str">
        <f ca="1">VLOOKUP(RAND(),{0,"Lucas";0.39,"Roberto";0.63,"Carla";0.78,"Pedro";0.93,"Emilly"},2,TRUE)</f>
        <v>Roberto</v>
      </c>
      <c r="H248">
        <v>2</v>
      </c>
      <c r="I248">
        <v>6500</v>
      </c>
      <c r="J248">
        <v>0.4</v>
      </c>
      <c r="K248">
        <f>PRODUCT(TabelaVendas1__2[[#This Row],[Valor_UnitarioXQtd]],TabelaVendas1__2[[#This Row],[Percentual_Lucro]])</f>
        <v>5200</v>
      </c>
      <c r="L248">
        <v>13000</v>
      </c>
      <c r="M248">
        <f>PRODUCT(TabelaVendas1__2[[#This Row],[Quantidade]],TabelaVendas1__2[[#This Row],[Valor_Unitario]])</f>
        <v>13000</v>
      </c>
      <c r="N248">
        <f>SUM(TabelaVendas1__2[[#This Row],[Valor_UnitarioXQtd]],TabelaVendas1__2[[#This Row],[Valor_Lucro]])</f>
        <v>18200</v>
      </c>
      <c r="O248" s="2" t="s">
        <v>76</v>
      </c>
    </row>
    <row r="249" spans="1:15">
      <c r="A249" t="s">
        <v>178</v>
      </c>
      <c r="B249" t="s">
        <v>22</v>
      </c>
      <c r="C249" t="s">
        <v>23</v>
      </c>
      <c r="D249" t="s">
        <v>42</v>
      </c>
      <c r="E249" s="1">
        <v>43825</v>
      </c>
      <c r="F249" t="s">
        <v>19</v>
      </c>
      <c r="G249" t="str">
        <f ca="1">VLOOKUP(RAND(),{0,"Lucas";0.39,"Roberto";0.63,"Carla";0.78,"Pedro";0.93,"Emilly"},2,TRUE)</f>
        <v>Lucas</v>
      </c>
      <c r="H249">
        <v>1</v>
      </c>
      <c r="I249">
        <v>440</v>
      </c>
      <c r="J249">
        <v>0.4</v>
      </c>
      <c r="K249">
        <f>PRODUCT(TabelaVendas1__2[[#This Row],[Valor_UnitarioXQtd]],TabelaVendas1__2[[#This Row],[Percentual_Lucro]])</f>
        <v>176</v>
      </c>
      <c r="L249">
        <v>440</v>
      </c>
      <c r="M249">
        <f>PRODUCT(TabelaVendas1__2[[#This Row],[Quantidade]],TabelaVendas1__2[[#This Row],[Valor_Unitario]])</f>
        <v>440</v>
      </c>
      <c r="N249">
        <f>SUM(TabelaVendas1__2[[#This Row],[Valor_UnitarioXQtd]],TabelaVendas1__2[[#This Row],[Valor_Lucro]])</f>
        <v>616</v>
      </c>
      <c r="O249" s="2" t="s">
        <v>43</v>
      </c>
    </row>
    <row r="250" spans="1:15">
      <c r="A250" t="s">
        <v>179</v>
      </c>
      <c r="B250" t="s">
        <v>22</v>
      </c>
      <c r="C250" t="s">
        <v>23</v>
      </c>
      <c r="D250" t="s">
        <v>42</v>
      </c>
      <c r="E250" s="1">
        <v>43825</v>
      </c>
      <c r="F250" t="s">
        <v>19</v>
      </c>
      <c r="G250" t="str">
        <f ca="1">VLOOKUP(RAND(),{0,"Lucas";0.39,"Roberto";0.63,"Carla";0.78,"Pedro";0.93,"Emilly"},2,TRUE)</f>
        <v>Lucas</v>
      </c>
      <c r="H250">
        <v>1</v>
      </c>
      <c r="I250">
        <v>315</v>
      </c>
      <c r="J250">
        <v>0.4</v>
      </c>
      <c r="K250">
        <f>PRODUCT(TabelaVendas1__2[[#This Row],[Valor_UnitarioXQtd]],TabelaVendas1__2[[#This Row],[Percentual_Lucro]])</f>
        <v>126</v>
      </c>
      <c r="L250">
        <v>315</v>
      </c>
      <c r="M250">
        <f>PRODUCT(TabelaVendas1__2[[#This Row],[Quantidade]],TabelaVendas1__2[[#This Row],[Valor_Unitario]])</f>
        <v>315</v>
      </c>
      <c r="N250">
        <f>SUM(TabelaVendas1__2[[#This Row],[Valor_UnitarioXQtd]],TabelaVendas1__2[[#This Row],[Valor_Lucro]])</f>
        <v>441</v>
      </c>
      <c r="O250" s="2" t="s">
        <v>43</v>
      </c>
    </row>
    <row r="251" spans="1:15">
      <c r="A251" t="s">
        <v>180</v>
      </c>
      <c r="B251" t="s">
        <v>51</v>
      </c>
      <c r="C251" t="s">
        <v>17</v>
      </c>
      <c r="D251" t="s">
        <v>97</v>
      </c>
      <c r="E251" s="1">
        <v>43825</v>
      </c>
      <c r="F251" t="s">
        <v>30</v>
      </c>
      <c r="G251" t="str">
        <f ca="1">VLOOKUP(RAND(),{0,"Lucas";0.39,"Roberto";0.63,"Carla";0.78,"Pedro";0.93,"Emilly"},2,TRUE)</f>
        <v>Lucas</v>
      </c>
      <c r="H251">
        <v>1</v>
      </c>
      <c r="I251">
        <v>550</v>
      </c>
      <c r="J251">
        <v>0.4</v>
      </c>
      <c r="K251">
        <f>PRODUCT(TabelaVendas1__2[[#This Row],[Valor_UnitarioXQtd]],TabelaVendas1__2[[#This Row],[Percentual_Lucro]])</f>
        <v>220</v>
      </c>
      <c r="L251">
        <v>550</v>
      </c>
      <c r="M251">
        <f>PRODUCT(TabelaVendas1__2[[#This Row],[Quantidade]],TabelaVendas1__2[[#This Row],[Valor_Unitario]])</f>
        <v>550</v>
      </c>
      <c r="N251">
        <f>SUM(TabelaVendas1__2[[#This Row],[Valor_UnitarioXQtd]],TabelaVendas1__2[[#This Row],[Valor_Lucro]])</f>
        <v>770</v>
      </c>
      <c r="O251" s="2" t="s">
        <v>98</v>
      </c>
    </row>
    <row r="252" spans="1:15">
      <c r="A252" t="s">
        <v>181</v>
      </c>
      <c r="B252" t="s">
        <v>22</v>
      </c>
      <c r="C252" t="s">
        <v>23</v>
      </c>
      <c r="D252" t="s">
        <v>34</v>
      </c>
      <c r="E252" s="1">
        <v>43825</v>
      </c>
      <c r="F252" t="s">
        <v>19</v>
      </c>
      <c r="G252" t="str">
        <f ca="1">VLOOKUP(RAND(),{0,"Lucas";0.39,"Roberto";0.63,"Carla";0.78,"Pedro";0.93,"Emilly"},2,TRUE)</f>
        <v>Lucas</v>
      </c>
      <c r="H252">
        <v>1</v>
      </c>
      <c r="I252">
        <v>900</v>
      </c>
      <c r="J252">
        <v>0.4</v>
      </c>
      <c r="K252">
        <f>PRODUCT(TabelaVendas1__2[[#This Row],[Valor_UnitarioXQtd]],TabelaVendas1__2[[#This Row],[Percentual_Lucro]])</f>
        <v>360</v>
      </c>
      <c r="L252">
        <v>900</v>
      </c>
      <c r="M252">
        <f>PRODUCT(TabelaVendas1__2[[#This Row],[Quantidade]],TabelaVendas1__2[[#This Row],[Valor_Unitario]])</f>
        <v>900</v>
      </c>
      <c r="N252">
        <f>SUM(TabelaVendas1__2[[#This Row],[Valor_UnitarioXQtd]],TabelaVendas1__2[[#This Row],[Valor_Lucro]])</f>
        <v>1260</v>
      </c>
      <c r="O252" s="2" t="s">
        <v>35</v>
      </c>
    </row>
    <row r="253" spans="1:15">
      <c r="A253" t="s">
        <v>91</v>
      </c>
      <c r="B253" t="s">
        <v>22</v>
      </c>
      <c r="C253" t="s">
        <v>23</v>
      </c>
      <c r="D253" t="s">
        <v>18</v>
      </c>
      <c r="E253" s="1">
        <v>43861</v>
      </c>
      <c r="F253" t="s">
        <v>19</v>
      </c>
      <c r="G253" t="str">
        <f ca="1">VLOOKUP(RAND(),{0,"Lucas";0.39,"Roberto";0.63,"Carla";0.78,"Pedro";0.93,"Emilly"},2,TRUE)</f>
        <v>Pedro</v>
      </c>
      <c r="H253">
        <v>1</v>
      </c>
      <c r="I253">
        <v>3200</v>
      </c>
      <c r="J253">
        <v>0.4</v>
      </c>
      <c r="K253">
        <f>PRODUCT(TabelaVendas1__2[[#This Row],[Valor_UnitarioXQtd]],TabelaVendas1__2[[#This Row],[Percentual_Lucro]])</f>
        <v>1280</v>
      </c>
      <c r="L253">
        <v>3200</v>
      </c>
      <c r="M253">
        <f>PRODUCT(TabelaVendas1__2[[#This Row],[Quantidade]],TabelaVendas1__2[[#This Row],[Valor_Unitario]])</f>
        <v>3200</v>
      </c>
      <c r="N253">
        <f>SUM(TabelaVendas1__2[[#This Row],[Valor_UnitarioXQtd]],TabelaVendas1__2[[#This Row],[Valor_Lucro]])</f>
        <v>4480</v>
      </c>
      <c r="O253" s="2" t="s">
        <v>20</v>
      </c>
    </row>
    <row r="254" spans="1:15">
      <c r="A254" t="s">
        <v>138</v>
      </c>
      <c r="B254" t="s">
        <v>16</v>
      </c>
      <c r="C254" t="s">
        <v>17</v>
      </c>
      <c r="D254" t="s">
        <v>18</v>
      </c>
      <c r="E254" s="1">
        <v>43861</v>
      </c>
      <c r="F254" t="s">
        <v>30</v>
      </c>
      <c r="G254" t="str">
        <f ca="1">VLOOKUP(RAND(),{0,"Lucas";0.39,"Roberto";0.63,"Carla";0.78,"Pedro";0.93,"Emilly"},2,TRUE)</f>
        <v>Lucas</v>
      </c>
      <c r="H254">
        <v>1</v>
      </c>
      <c r="I254">
        <v>2150</v>
      </c>
      <c r="J254">
        <v>0.4</v>
      </c>
      <c r="K254">
        <f>PRODUCT(TabelaVendas1__2[[#This Row],[Valor_UnitarioXQtd]],TabelaVendas1__2[[#This Row],[Percentual_Lucro]])</f>
        <v>860</v>
      </c>
      <c r="L254">
        <v>2150</v>
      </c>
      <c r="M254">
        <f>PRODUCT(TabelaVendas1__2[[#This Row],[Quantidade]],TabelaVendas1__2[[#This Row],[Valor_Unitario]])</f>
        <v>2150</v>
      </c>
      <c r="N254">
        <f>SUM(TabelaVendas1__2[[#This Row],[Valor_UnitarioXQtd]],TabelaVendas1__2[[#This Row],[Valor_Lucro]])</f>
        <v>3010</v>
      </c>
      <c r="O254" s="2" t="s">
        <v>20</v>
      </c>
    </row>
    <row r="255" spans="1:15">
      <c r="A255" t="s">
        <v>182</v>
      </c>
      <c r="B255" t="s">
        <v>22</v>
      </c>
      <c r="C255" t="s">
        <v>23</v>
      </c>
      <c r="D255" t="s">
        <v>18</v>
      </c>
      <c r="E255" s="1">
        <v>43861</v>
      </c>
      <c r="F255" t="s">
        <v>27</v>
      </c>
      <c r="G255" t="str">
        <f ca="1">VLOOKUP(RAND(),{0,"Lucas";0.39,"Roberto";0.63,"Carla";0.78,"Pedro";0.93,"Emilly"},2,TRUE)</f>
        <v>Lucas</v>
      </c>
      <c r="H255">
        <v>1</v>
      </c>
      <c r="I255">
        <v>2650</v>
      </c>
      <c r="J255">
        <v>0.4</v>
      </c>
      <c r="K255">
        <f>PRODUCT(TabelaVendas1__2[[#This Row],[Valor_UnitarioXQtd]],TabelaVendas1__2[[#This Row],[Percentual_Lucro]])</f>
        <v>1060</v>
      </c>
      <c r="L255">
        <v>2650</v>
      </c>
      <c r="M255">
        <f>PRODUCT(TabelaVendas1__2[[#This Row],[Quantidade]],TabelaVendas1__2[[#This Row],[Valor_Unitario]])</f>
        <v>2650</v>
      </c>
      <c r="N255">
        <f>SUM(TabelaVendas1__2[[#This Row],[Valor_UnitarioXQtd]],TabelaVendas1__2[[#This Row],[Valor_Lucro]])</f>
        <v>3710</v>
      </c>
      <c r="O255" s="2" t="s">
        <v>20</v>
      </c>
    </row>
    <row r="256" spans="1:15">
      <c r="A256" t="s">
        <v>183</v>
      </c>
      <c r="B256" t="s">
        <v>22</v>
      </c>
      <c r="C256" t="s">
        <v>23</v>
      </c>
      <c r="D256" t="s">
        <v>54</v>
      </c>
      <c r="E256" s="1">
        <v>43861</v>
      </c>
      <c r="F256" t="s">
        <v>19</v>
      </c>
      <c r="G256" t="str">
        <f ca="1">VLOOKUP(RAND(),{0,"Lucas";0.39,"Roberto";0.63,"Carla";0.78,"Pedro";0.93,"Emilly"},2,TRUE)</f>
        <v>Pedro</v>
      </c>
      <c r="H256">
        <v>1</v>
      </c>
      <c r="I256">
        <v>900</v>
      </c>
      <c r="J256">
        <v>0.4</v>
      </c>
      <c r="K256">
        <f>PRODUCT(TabelaVendas1__2[[#This Row],[Valor_UnitarioXQtd]],TabelaVendas1__2[[#This Row],[Percentual_Lucro]])</f>
        <v>360</v>
      </c>
      <c r="L256">
        <v>900</v>
      </c>
      <c r="M256">
        <f>PRODUCT(TabelaVendas1__2[[#This Row],[Quantidade]],TabelaVendas1__2[[#This Row],[Valor_Unitario]])</f>
        <v>900</v>
      </c>
      <c r="N256">
        <f>SUM(TabelaVendas1__2[[#This Row],[Valor_UnitarioXQtd]],TabelaVendas1__2[[#This Row],[Valor_Lucro]])</f>
        <v>1260</v>
      </c>
      <c r="O256" s="2" t="s">
        <v>55</v>
      </c>
    </row>
    <row r="257" spans="1:15">
      <c r="A257" t="s">
        <v>143</v>
      </c>
      <c r="B257" t="s">
        <v>22</v>
      </c>
      <c r="C257" t="s">
        <v>23</v>
      </c>
      <c r="D257" t="s">
        <v>29</v>
      </c>
      <c r="E257" s="1">
        <v>43861</v>
      </c>
      <c r="F257" t="s">
        <v>27</v>
      </c>
      <c r="G257" t="str">
        <f ca="1">VLOOKUP(RAND(),{0,"Lucas";0.39,"Roberto";0.63,"Carla";0.78,"Pedro";0.93,"Emilly"},2,TRUE)</f>
        <v>Lucas</v>
      </c>
      <c r="H257">
        <v>1</v>
      </c>
      <c r="I257">
        <v>4500</v>
      </c>
      <c r="J257">
        <v>0.4</v>
      </c>
      <c r="K257">
        <f>PRODUCT(TabelaVendas1__2[[#This Row],[Valor_UnitarioXQtd]],TabelaVendas1__2[[#This Row],[Percentual_Lucro]])</f>
        <v>1800</v>
      </c>
      <c r="L257">
        <v>4500</v>
      </c>
      <c r="M257">
        <f>PRODUCT(TabelaVendas1__2[[#This Row],[Quantidade]],TabelaVendas1__2[[#This Row],[Valor_Unitario]])</f>
        <v>4500</v>
      </c>
      <c r="N257">
        <f>SUM(TabelaVendas1__2[[#This Row],[Valor_UnitarioXQtd]],TabelaVendas1__2[[#This Row],[Valor_Lucro]])</f>
        <v>6300</v>
      </c>
      <c r="O257" s="2" t="s">
        <v>31</v>
      </c>
    </row>
    <row r="258" spans="1:15">
      <c r="A258" t="s">
        <v>177</v>
      </c>
      <c r="B258" t="s">
        <v>22</v>
      </c>
      <c r="C258" t="s">
        <v>23</v>
      </c>
      <c r="D258" t="s">
        <v>75</v>
      </c>
      <c r="E258" s="1">
        <v>43879</v>
      </c>
      <c r="F258" t="s">
        <v>30</v>
      </c>
      <c r="G258" t="str">
        <f ca="1">VLOOKUP(RAND(),{0,"Lucas";0.39,"Roberto";0.63,"Carla";0.78,"Pedro";0.93,"Emilly"},2,TRUE)</f>
        <v>Carla</v>
      </c>
      <c r="H258">
        <v>1</v>
      </c>
      <c r="I258">
        <v>2650</v>
      </c>
      <c r="J258">
        <v>0.4</v>
      </c>
      <c r="K258">
        <f>PRODUCT(TabelaVendas1__2[[#This Row],[Valor_UnitarioXQtd]],TabelaVendas1__2[[#This Row],[Percentual_Lucro]])</f>
        <v>1060</v>
      </c>
      <c r="L258">
        <v>2650</v>
      </c>
      <c r="M258">
        <f>PRODUCT(TabelaVendas1__2[[#This Row],[Quantidade]],TabelaVendas1__2[[#This Row],[Valor_Unitario]])</f>
        <v>2650</v>
      </c>
      <c r="N258">
        <f>SUM(TabelaVendas1__2[[#This Row],[Valor_UnitarioXQtd]],TabelaVendas1__2[[#This Row],[Valor_Lucro]])</f>
        <v>3710</v>
      </c>
      <c r="O258" s="2" t="s">
        <v>76</v>
      </c>
    </row>
    <row r="259" spans="1:15">
      <c r="A259" t="s">
        <v>184</v>
      </c>
      <c r="B259" t="s">
        <v>22</v>
      </c>
      <c r="C259" t="s">
        <v>23</v>
      </c>
      <c r="D259" t="s">
        <v>75</v>
      </c>
      <c r="E259" s="1">
        <v>43879</v>
      </c>
      <c r="F259" t="s">
        <v>27</v>
      </c>
      <c r="G259" t="str">
        <f ca="1">VLOOKUP(RAND(),{0,"Lucas";0.39,"Roberto";0.63,"Carla";0.78,"Pedro";0.93,"Emilly"},2,TRUE)</f>
        <v>Emilly</v>
      </c>
      <c r="H259">
        <v>1</v>
      </c>
      <c r="I259">
        <v>2650</v>
      </c>
      <c r="J259">
        <v>0.4</v>
      </c>
      <c r="K259">
        <f>PRODUCT(TabelaVendas1__2[[#This Row],[Valor_UnitarioXQtd]],TabelaVendas1__2[[#This Row],[Percentual_Lucro]])</f>
        <v>1060</v>
      </c>
      <c r="L259">
        <v>2650</v>
      </c>
      <c r="M259">
        <f>PRODUCT(TabelaVendas1__2[[#This Row],[Quantidade]],TabelaVendas1__2[[#This Row],[Valor_Unitario]])</f>
        <v>2650</v>
      </c>
      <c r="N259">
        <f>SUM(TabelaVendas1__2[[#This Row],[Valor_UnitarioXQtd]],TabelaVendas1__2[[#This Row],[Valor_Lucro]])</f>
        <v>3710</v>
      </c>
      <c r="O259" s="2" t="s">
        <v>76</v>
      </c>
    </row>
    <row r="260" spans="1:15">
      <c r="A260" t="s">
        <v>170</v>
      </c>
      <c r="B260" t="s">
        <v>22</v>
      </c>
      <c r="C260" t="s">
        <v>23</v>
      </c>
      <c r="D260" t="s">
        <v>42</v>
      </c>
      <c r="E260" s="1">
        <v>43879</v>
      </c>
      <c r="F260" t="s">
        <v>19</v>
      </c>
      <c r="G260" t="str">
        <f ca="1">VLOOKUP(RAND(),{0,"Lucas";0.39,"Roberto";0.63,"Carla";0.78,"Pedro";0.93,"Emilly"},2,TRUE)</f>
        <v>Lucas</v>
      </c>
      <c r="H260">
        <v>1</v>
      </c>
      <c r="I260">
        <v>6500</v>
      </c>
      <c r="J260">
        <v>0.4</v>
      </c>
      <c r="K260">
        <f>PRODUCT(TabelaVendas1__2[[#This Row],[Valor_UnitarioXQtd]],TabelaVendas1__2[[#This Row],[Percentual_Lucro]])</f>
        <v>2600</v>
      </c>
      <c r="L260">
        <v>6500</v>
      </c>
      <c r="M260">
        <f>PRODUCT(TabelaVendas1__2[[#This Row],[Quantidade]],TabelaVendas1__2[[#This Row],[Valor_Unitario]])</f>
        <v>6500</v>
      </c>
      <c r="N260">
        <f>SUM(TabelaVendas1__2[[#This Row],[Valor_UnitarioXQtd]],TabelaVendas1__2[[#This Row],[Valor_Lucro]])</f>
        <v>9100</v>
      </c>
      <c r="O260" s="2" t="s">
        <v>43</v>
      </c>
    </row>
    <row r="261" spans="1:15">
      <c r="A261" t="s">
        <v>66</v>
      </c>
      <c r="B261" t="s">
        <v>22</v>
      </c>
      <c r="C261" t="s">
        <v>23</v>
      </c>
      <c r="D261" t="s">
        <v>24</v>
      </c>
      <c r="E261" s="1">
        <v>43879</v>
      </c>
      <c r="F261" t="s">
        <v>19</v>
      </c>
      <c r="G261" t="str">
        <f ca="1">VLOOKUP(RAND(),{0,"Lucas";0.39,"Roberto";0.63,"Carla";0.78,"Pedro";0.93,"Emilly"},2,TRUE)</f>
        <v>Carla</v>
      </c>
      <c r="H261">
        <v>1</v>
      </c>
      <c r="I261">
        <v>7000</v>
      </c>
      <c r="J261">
        <v>0.4</v>
      </c>
      <c r="K261">
        <f>PRODUCT(TabelaVendas1__2[[#This Row],[Valor_UnitarioXQtd]],TabelaVendas1__2[[#This Row],[Percentual_Lucro]])</f>
        <v>2800</v>
      </c>
      <c r="L261">
        <v>7000</v>
      </c>
      <c r="M261">
        <f>PRODUCT(TabelaVendas1__2[[#This Row],[Quantidade]],TabelaVendas1__2[[#This Row],[Valor_Unitario]])</f>
        <v>7000</v>
      </c>
      <c r="N261">
        <f>SUM(TabelaVendas1__2[[#This Row],[Valor_UnitarioXQtd]],TabelaVendas1__2[[#This Row],[Valor_Lucro]])</f>
        <v>9800</v>
      </c>
      <c r="O261" s="2" t="s">
        <v>25</v>
      </c>
    </row>
    <row r="262" spans="1:15">
      <c r="A262" t="s">
        <v>170</v>
      </c>
      <c r="B262" t="s">
        <v>22</v>
      </c>
      <c r="C262" t="s">
        <v>23</v>
      </c>
      <c r="D262" t="s">
        <v>42</v>
      </c>
      <c r="E262" s="1">
        <v>43918</v>
      </c>
      <c r="F262" t="s">
        <v>30</v>
      </c>
      <c r="G262" t="str">
        <f ca="1">VLOOKUP(RAND(),{0,"Lucas";0.39,"Roberto";0.63,"Carla";0.78,"Pedro";0.93,"Emilly"},2,TRUE)</f>
        <v>Pedro</v>
      </c>
      <c r="H262">
        <v>1</v>
      </c>
      <c r="I262">
        <v>3500</v>
      </c>
      <c r="J262">
        <v>0.4</v>
      </c>
      <c r="K262">
        <f>PRODUCT(TabelaVendas1__2[[#This Row],[Valor_UnitarioXQtd]],TabelaVendas1__2[[#This Row],[Percentual_Lucro]])</f>
        <v>1400</v>
      </c>
      <c r="L262">
        <v>3500</v>
      </c>
      <c r="M262">
        <f>PRODUCT(TabelaVendas1__2[[#This Row],[Quantidade]],TabelaVendas1__2[[#This Row],[Valor_Unitario]])</f>
        <v>3500</v>
      </c>
      <c r="N262">
        <f>SUM(TabelaVendas1__2[[#This Row],[Valor_UnitarioXQtd]],TabelaVendas1__2[[#This Row],[Valor_Lucro]])</f>
        <v>4900</v>
      </c>
      <c r="O262" s="2" t="s">
        <v>43</v>
      </c>
    </row>
    <row r="263" spans="1:15">
      <c r="A263" t="s">
        <v>106</v>
      </c>
      <c r="B263" t="s">
        <v>22</v>
      </c>
      <c r="C263" t="s">
        <v>23</v>
      </c>
      <c r="D263" t="s">
        <v>24</v>
      </c>
      <c r="E263" s="1">
        <v>43918</v>
      </c>
      <c r="F263" t="s">
        <v>19</v>
      </c>
      <c r="G263" t="str">
        <f ca="1">VLOOKUP(RAND(),{0,"Lucas";0.39,"Roberto";0.63,"Carla";0.78,"Pedro";0.93,"Emilly"},2,TRUE)</f>
        <v>Lucas</v>
      </c>
      <c r="H263">
        <v>1</v>
      </c>
      <c r="I263">
        <v>13500</v>
      </c>
      <c r="J263">
        <v>0.4</v>
      </c>
      <c r="K263">
        <f>PRODUCT(TabelaVendas1__2[[#This Row],[Valor_UnitarioXQtd]],TabelaVendas1__2[[#This Row],[Percentual_Lucro]])</f>
        <v>5400</v>
      </c>
      <c r="L263">
        <v>13500</v>
      </c>
      <c r="M263">
        <f>PRODUCT(TabelaVendas1__2[[#This Row],[Quantidade]],TabelaVendas1__2[[#This Row],[Valor_Unitario]])</f>
        <v>13500</v>
      </c>
      <c r="N263">
        <f>SUM(TabelaVendas1__2[[#This Row],[Valor_UnitarioXQtd]],TabelaVendas1__2[[#This Row],[Valor_Lucro]])</f>
        <v>18900</v>
      </c>
      <c r="O263" s="2" t="s">
        <v>25</v>
      </c>
    </row>
    <row r="264" spans="1:15">
      <c r="A264" t="s">
        <v>185</v>
      </c>
      <c r="B264" t="s">
        <v>22</v>
      </c>
      <c r="C264" t="s">
        <v>23</v>
      </c>
      <c r="D264" t="s">
        <v>42</v>
      </c>
      <c r="E264" s="1">
        <v>43979</v>
      </c>
      <c r="F264" t="s">
        <v>30</v>
      </c>
      <c r="G264" t="str">
        <f ca="1">VLOOKUP(RAND(),{0,"Lucas";0.39,"Roberto";0.63,"Carla";0.78,"Pedro";0.93,"Emilly"},2,TRUE)</f>
        <v>Carla</v>
      </c>
      <c r="H264">
        <v>1</v>
      </c>
      <c r="I264">
        <v>4500</v>
      </c>
      <c r="J264">
        <v>0.4</v>
      </c>
      <c r="K264">
        <f>PRODUCT(TabelaVendas1__2[[#This Row],[Valor_UnitarioXQtd]],TabelaVendas1__2[[#This Row],[Percentual_Lucro]])</f>
        <v>1800</v>
      </c>
      <c r="L264">
        <v>4500</v>
      </c>
      <c r="M264">
        <f>PRODUCT(TabelaVendas1__2[[#This Row],[Quantidade]],TabelaVendas1__2[[#This Row],[Valor_Unitario]])</f>
        <v>4500</v>
      </c>
      <c r="N264">
        <f>SUM(TabelaVendas1__2[[#This Row],[Valor_UnitarioXQtd]],TabelaVendas1__2[[#This Row],[Valor_Lucro]])</f>
        <v>6300</v>
      </c>
      <c r="O264" s="2" t="s">
        <v>43</v>
      </c>
    </row>
    <row r="265" spans="1:15">
      <c r="A265" t="s">
        <v>144</v>
      </c>
      <c r="B265" t="s">
        <v>22</v>
      </c>
      <c r="C265" t="s">
        <v>23</v>
      </c>
      <c r="D265" t="s">
        <v>126</v>
      </c>
      <c r="E265" s="1">
        <v>43979</v>
      </c>
      <c r="F265" t="s">
        <v>19</v>
      </c>
      <c r="G265" t="str">
        <f ca="1">VLOOKUP(RAND(),{0,"Lucas";0.39,"Roberto";0.63,"Carla";0.78,"Pedro";0.93,"Emilly"},2,TRUE)</f>
        <v>Roberto</v>
      </c>
      <c r="H265">
        <v>1</v>
      </c>
      <c r="I265">
        <v>6000</v>
      </c>
      <c r="J265">
        <v>0.4</v>
      </c>
      <c r="K265">
        <f>PRODUCT(TabelaVendas1__2[[#This Row],[Valor_UnitarioXQtd]],TabelaVendas1__2[[#This Row],[Percentual_Lucro]])</f>
        <v>2400</v>
      </c>
      <c r="L265">
        <v>6000</v>
      </c>
      <c r="M265">
        <f>PRODUCT(TabelaVendas1__2[[#This Row],[Quantidade]],TabelaVendas1__2[[#This Row],[Valor_Unitario]])</f>
        <v>6000</v>
      </c>
      <c r="N265">
        <f>SUM(TabelaVendas1__2[[#This Row],[Valor_UnitarioXQtd]],TabelaVendas1__2[[#This Row],[Valor_Lucro]])</f>
        <v>8400</v>
      </c>
      <c r="O265" s="2" t="s">
        <v>127</v>
      </c>
    </row>
    <row r="266" spans="1:15">
      <c r="A266" t="s">
        <v>145</v>
      </c>
      <c r="B266" t="s">
        <v>22</v>
      </c>
      <c r="C266" t="s">
        <v>23</v>
      </c>
      <c r="D266" t="s">
        <v>146</v>
      </c>
      <c r="E266" s="1">
        <v>43979</v>
      </c>
      <c r="F266" t="s">
        <v>27</v>
      </c>
      <c r="G266" t="str">
        <f ca="1">VLOOKUP(RAND(),{0,"Lucas";0.39,"Roberto";0.63,"Carla";0.78,"Pedro";0.93,"Emilly"},2,TRUE)</f>
        <v>Lucas</v>
      </c>
      <c r="H266">
        <v>1</v>
      </c>
      <c r="I266">
        <v>3500</v>
      </c>
      <c r="J266">
        <v>0.4</v>
      </c>
      <c r="K266">
        <f>PRODUCT(TabelaVendas1__2[[#This Row],[Valor_UnitarioXQtd]],TabelaVendas1__2[[#This Row],[Percentual_Lucro]])</f>
        <v>1400</v>
      </c>
      <c r="L266">
        <v>3500</v>
      </c>
      <c r="M266">
        <f>PRODUCT(TabelaVendas1__2[[#This Row],[Quantidade]],TabelaVendas1__2[[#This Row],[Valor_Unitario]])</f>
        <v>3500</v>
      </c>
      <c r="N266">
        <f>SUM(TabelaVendas1__2[[#This Row],[Valor_UnitarioXQtd]],TabelaVendas1__2[[#This Row],[Valor_Lucro]])</f>
        <v>4900</v>
      </c>
      <c r="O266" s="2" t="s">
        <v>147</v>
      </c>
    </row>
    <row r="267" spans="1:15">
      <c r="A267" t="s">
        <v>91</v>
      </c>
      <c r="B267" t="s">
        <v>22</v>
      </c>
      <c r="C267" t="s">
        <v>23</v>
      </c>
      <c r="D267" t="s">
        <v>18</v>
      </c>
      <c r="E267" s="1">
        <v>44012</v>
      </c>
      <c r="F267" t="s">
        <v>30</v>
      </c>
      <c r="G267" t="str">
        <f ca="1">VLOOKUP(RAND(),{0,"Lucas";0.39,"Roberto";0.63,"Carla";0.78,"Pedro";0.93,"Emilly"},2,TRUE)</f>
        <v>Carla</v>
      </c>
      <c r="H267">
        <v>1</v>
      </c>
      <c r="I267">
        <v>9000</v>
      </c>
      <c r="J267">
        <v>0.4</v>
      </c>
      <c r="K267">
        <f>PRODUCT(TabelaVendas1__2[[#This Row],[Valor_UnitarioXQtd]],TabelaVendas1__2[[#This Row],[Percentual_Lucro]])</f>
        <v>3600</v>
      </c>
      <c r="L267">
        <v>9000</v>
      </c>
      <c r="M267">
        <f>PRODUCT(TabelaVendas1__2[[#This Row],[Quantidade]],TabelaVendas1__2[[#This Row],[Valor_Unitario]])</f>
        <v>9000</v>
      </c>
      <c r="N267">
        <f>SUM(TabelaVendas1__2[[#This Row],[Valor_UnitarioXQtd]],TabelaVendas1__2[[#This Row],[Valor_Lucro]])</f>
        <v>12600</v>
      </c>
      <c r="O267" s="2" t="s">
        <v>20</v>
      </c>
    </row>
    <row r="268" spans="1:15">
      <c r="A268" t="s">
        <v>93</v>
      </c>
      <c r="B268" t="s">
        <v>22</v>
      </c>
      <c r="C268" t="s">
        <v>23</v>
      </c>
      <c r="D268" t="s">
        <v>34</v>
      </c>
      <c r="E268" s="1">
        <v>44012</v>
      </c>
      <c r="F268" t="s">
        <v>19</v>
      </c>
      <c r="G268" t="str">
        <f ca="1">VLOOKUP(RAND(),{0,"Lucas";0.39,"Roberto";0.63,"Carla";0.78,"Pedro";0.93,"Emilly"},2,TRUE)</f>
        <v>Emilly</v>
      </c>
      <c r="H268">
        <v>1</v>
      </c>
      <c r="I268">
        <v>5500</v>
      </c>
      <c r="J268">
        <v>0.4</v>
      </c>
      <c r="K268">
        <f>PRODUCT(TabelaVendas1__2[[#This Row],[Valor_UnitarioXQtd]],TabelaVendas1__2[[#This Row],[Percentual_Lucro]])</f>
        <v>2200</v>
      </c>
      <c r="L268">
        <v>5500</v>
      </c>
      <c r="M268">
        <f>PRODUCT(TabelaVendas1__2[[#This Row],[Quantidade]],TabelaVendas1__2[[#This Row],[Valor_Unitario]])</f>
        <v>5500</v>
      </c>
      <c r="N268">
        <f>SUM(TabelaVendas1__2[[#This Row],[Valor_UnitarioXQtd]],TabelaVendas1__2[[#This Row],[Valor_Lucro]])</f>
        <v>7700</v>
      </c>
      <c r="O268" s="2" t="s">
        <v>35</v>
      </c>
    </row>
    <row r="269" spans="1:15">
      <c r="A269" t="s">
        <v>102</v>
      </c>
      <c r="B269" t="s">
        <v>22</v>
      </c>
      <c r="C269" t="s">
        <v>23</v>
      </c>
      <c r="D269" t="s">
        <v>75</v>
      </c>
      <c r="E269" s="1">
        <v>44042</v>
      </c>
      <c r="F269" t="s">
        <v>27</v>
      </c>
      <c r="G269" t="str">
        <f ca="1">VLOOKUP(RAND(),{0,"Lucas";0.39,"Roberto";0.63,"Carla";0.78,"Pedro";0.93,"Emilly"},2,TRUE)</f>
        <v>Roberto</v>
      </c>
      <c r="H269">
        <v>2</v>
      </c>
      <c r="I269">
        <v>1350</v>
      </c>
      <c r="J269">
        <v>0.4</v>
      </c>
      <c r="K269">
        <f>PRODUCT(TabelaVendas1__2[[#This Row],[Valor_UnitarioXQtd]],TabelaVendas1__2[[#This Row],[Percentual_Lucro]])</f>
        <v>1080</v>
      </c>
      <c r="L269">
        <v>2700</v>
      </c>
      <c r="M269">
        <f>PRODUCT(TabelaVendas1__2[[#This Row],[Quantidade]],TabelaVendas1__2[[#This Row],[Valor_Unitario]])</f>
        <v>2700</v>
      </c>
      <c r="N269">
        <f>SUM(TabelaVendas1__2[[#This Row],[Valor_UnitarioXQtd]],TabelaVendas1__2[[#This Row],[Valor_Lucro]])</f>
        <v>3780</v>
      </c>
      <c r="O269" s="2" t="s">
        <v>76</v>
      </c>
    </row>
    <row r="270" spans="1:15">
      <c r="A270" t="s">
        <v>62</v>
      </c>
      <c r="B270" t="s">
        <v>22</v>
      </c>
      <c r="C270" t="s">
        <v>23</v>
      </c>
      <c r="D270" t="s">
        <v>24</v>
      </c>
      <c r="E270" s="1">
        <v>44042</v>
      </c>
      <c r="F270" t="s">
        <v>27</v>
      </c>
      <c r="G270" t="str">
        <f ca="1">VLOOKUP(RAND(),{0,"Lucas";0.39,"Roberto";0.63,"Carla";0.78,"Pedro";0.93,"Emilly"},2,TRUE)</f>
        <v>Lucas</v>
      </c>
      <c r="H270">
        <v>1</v>
      </c>
      <c r="I270">
        <v>7000</v>
      </c>
      <c r="J270">
        <v>0.4</v>
      </c>
      <c r="K270">
        <f>PRODUCT(TabelaVendas1__2[[#This Row],[Valor_UnitarioXQtd]],TabelaVendas1__2[[#This Row],[Percentual_Lucro]])</f>
        <v>2800</v>
      </c>
      <c r="L270">
        <v>7000</v>
      </c>
      <c r="M270">
        <f>PRODUCT(TabelaVendas1__2[[#This Row],[Quantidade]],TabelaVendas1__2[[#This Row],[Valor_Unitario]])</f>
        <v>7000</v>
      </c>
      <c r="N270">
        <f>SUM(TabelaVendas1__2[[#This Row],[Valor_UnitarioXQtd]],TabelaVendas1__2[[#This Row],[Valor_Lucro]])</f>
        <v>9800</v>
      </c>
      <c r="O270" s="2" t="s">
        <v>25</v>
      </c>
    </row>
    <row r="271" spans="1:15">
      <c r="A271" t="s">
        <v>138</v>
      </c>
      <c r="B271" t="s">
        <v>16</v>
      </c>
      <c r="C271" t="s">
        <v>17</v>
      </c>
      <c r="D271" t="s">
        <v>18</v>
      </c>
      <c r="E271" s="1">
        <v>44042</v>
      </c>
      <c r="F271" t="s">
        <v>27</v>
      </c>
      <c r="G271" t="str">
        <f ca="1">VLOOKUP(RAND(),{0,"Lucas";0.39,"Roberto";0.63,"Carla";0.78,"Pedro";0.93,"Emilly"},2,TRUE)</f>
        <v>Lucas</v>
      </c>
      <c r="H271">
        <v>1</v>
      </c>
      <c r="I271">
        <v>1200</v>
      </c>
      <c r="J271">
        <v>0.4</v>
      </c>
      <c r="K271">
        <f>PRODUCT(TabelaVendas1__2[[#This Row],[Valor_UnitarioXQtd]],TabelaVendas1__2[[#This Row],[Percentual_Lucro]])</f>
        <v>480</v>
      </c>
      <c r="L271">
        <v>1200</v>
      </c>
      <c r="M271">
        <f>PRODUCT(TabelaVendas1__2[[#This Row],[Quantidade]],TabelaVendas1__2[[#This Row],[Valor_Unitario]])</f>
        <v>1200</v>
      </c>
      <c r="N271">
        <f>SUM(TabelaVendas1__2[[#This Row],[Valor_UnitarioXQtd]],TabelaVendas1__2[[#This Row],[Valor_Lucro]])</f>
        <v>1680</v>
      </c>
      <c r="O271" s="2" t="s">
        <v>20</v>
      </c>
    </row>
    <row r="272" spans="1:15">
      <c r="A272" t="s">
        <v>91</v>
      </c>
      <c r="B272" t="s">
        <v>22</v>
      </c>
      <c r="C272" t="s">
        <v>23</v>
      </c>
      <c r="D272" t="s">
        <v>18</v>
      </c>
      <c r="E272" s="1">
        <v>44071</v>
      </c>
      <c r="F272" t="s">
        <v>27</v>
      </c>
      <c r="G272" t="str">
        <f ca="1">VLOOKUP(RAND(),{0,"Lucas";0.39,"Roberto";0.63,"Carla";0.78,"Pedro";0.93,"Emilly"},2,TRUE)</f>
        <v>Emilly</v>
      </c>
      <c r="H272">
        <v>1</v>
      </c>
      <c r="I272">
        <v>2300</v>
      </c>
      <c r="J272">
        <v>0.4</v>
      </c>
      <c r="K272">
        <f>PRODUCT(TabelaVendas1__2[[#This Row],[Valor_UnitarioXQtd]],TabelaVendas1__2[[#This Row],[Percentual_Lucro]])</f>
        <v>920</v>
      </c>
      <c r="L272">
        <v>2300</v>
      </c>
      <c r="M272">
        <f>PRODUCT(TabelaVendas1__2[[#This Row],[Quantidade]],TabelaVendas1__2[[#This Row],[Valor_Unitario]])</f>
        <v>2300</v>
      </c>
      <c r="N272">
        <f>SUM(TabelaVendas1__2[[#This Row],[Valor_UnitarioXQtd]],TabelaVendas1__2[[#This Row],[Valor_Lucro]])</f>
        <v>3220</v>
      </c>
      <c r="O272" s="2" t="s">
        <v>20</v>
      </c>
    </row>
    <row r="273" spans="1:15">
      <c r="A273" t="s">
        <v>144</v>
      </c>
      <c r="B273" t="s">
        <v>22</v>
      </c>
      <c r="C273" t="s">
        <v>23</v>
      </c>
      <c r="D273" t="s">
        <v>126</v>
      </c>
      <c r="E273" s="1">
        <v>44071</v>
      </c>
      <c r="F273" t="s">
        <v>30</v>
      </c>
      <c r="G273" t="str">
        <f ca="1">VLOOKUP(RAND(),{0,"Lucas";0.39,"Roberto";0.63,"Carla";0.78,"Pedro";0.93,"Emilly"},2,TRUE)</f>
        <v>Lucas</v>
      </c>
      <c r="H273">
        <v>1</v>
      </c>
      <c r="I273">
        <v>1000</v>
      </c>
      <c r="J273">
        <v>0.4</v>
      </c>
      <c r="K273">
        <f>PRODUCT(TabelaVendas1__2[[#This Row],[Valor_UnitarioXQtd]],TabelaVendas1__2[[#This Row],[Percentual_Lucro]])</f>
        <v>400</v>
      </c>
      <c r="L273">
        <v>1000</v>
      </c>
      <c r="M273">
        <f>PRODUCT(TabelaVendas1__2[[#This Row],[Quantidade]],TabelaVendas1__2[[#This Row],[Valor_Unitario]])</f>
        <v>1000</v>
      </c>
      <c r="N273">
        <f>SUM(TabelaVendas1__2[[#This Row],[Valor_UnitarioXQtd]],TabelaVendas1__2[[#This Row],[Valor_Lucro]])</f>
        <v>1400</v>
      </c>
      <c r="O273" s="2" t="s">
        <v>127</v>
      </c>
    </row>
    <row r="274" spans="1:15">
      <c r="A274" t="s">
        <v>46</v>
      </c>
      <c r="B274" t="s">
        <v>22</v>
      </c>
      <c r="C274" t="s">
        <v>23</v>
      </c>
      <c r="D274" t="s">
        <v>47</v>
      </c>
      <c r="E274" s="1">
        <v>44071</v>
      </c>
      <c r="F274" t="s">
        <v>30</v>
      </c>
      <c r="G274" t="str">
        <f ca="1">VLOOKUP(RAND(),{0,"Lucas";0.39,"Roberto";0.63,"Carla";0.78,"Pedro";0.93,"Emilly"},2,TRUE)</f>
        <v>Lucas</v>
      </c>
      <c r="H274">
        <v>1</v>
      </c>
      <c r="I274">
        <v>11500</v>
      </c>
      <c r="J274">
        <v>0.4</v>
      </c>
      <c r="K274">
        <f>PRODUCT(TabelaVendas1__2[[#This Row],[Valor_UnitarioXQtd]],TabelaVendas1__2[[#This Row],[Percentual_Lucro]])</f>
        <v>4600</v>
      </c>
      <c r="L274">
        <v>11500</v>
      </c>
      <c r="M274">
        <f>PRODUCT(TabelaVendas1__2[[#This Row],[Quantidade]],TabelaVendas1__2[[#This Row],[Valor_Unitario]])</f>
        <v>11500</v>
      </c>
      <c r="N274">
        <f>SUM(TabelaVendas1__2[[#This Row],[Valor_UnitarioXQtd]],TabelaVendas1__2[[#This Row],[Valor_Lucro]])</f>
        <v>16100</v>
      </c>
      <c r="O274" s="2" t="s">
        <v>48</v>
      </c>
    </row>
    <row r="275" spans="1:15">
      <c r="A275" t="s">
        <v>177</v>
      </c>
      <c r="B275" t="s">
        <v>22</v>
      </c>
      <c r="C275" t="s">
        <v>23</v>
      </c>
      <c r="D275" t="s">
        <v>75</v>
      </c>
      <c r="E275" s="1">
        <v>44098</v>
      </c>
      <c r="F275" t="s">
        <v>27</v>
      </c>
      <c r="G275" t="str">
        <f ca="1">VLOOKUP(RAND(),{0,"Lucas";0.39,"Roberto";0.63,"Carla";0.78,"Pedro";0.93,"Emilly"},2,TRUE)</f>
        <v>Pedro</v>
      </c>
      <c r="H275">
        <v>1</v>
      </c>
      <c r="I275">
        <v>3500</v>
      </c>
      <c r="J275">
        <v>0.4</v>
      </c>
      <c r="K275">
        <f>PRODUCT(TabelaVendas1__2[[#This Row],[Valor_UnitarioXQtd]],TabelaVendas1__2[[#This Row],[Percentual_Lucro]])</f>
        <v>1400</v>
      </c>
      <c r="L275">
        <v>3500</v>
      </c>
      <c r="M275">
        <f>PRODUCT(TabelaVendas1__2[[#This Row],[Quantidade]],TabelaVendas1__2[[#This Row],[Valor_Unitario]])</f>
        <v>3500</v>
      </c>
      <c r="N275">
        <f>SUM(TabelaVendas1__2[[#This Row],[Valor_UnitarioXQtd]],TabelaVendas1__2[[#This Row],[Valor_Lucro]])</f>
        <v>4900</v>
      </c>
      <c r="O275" s="2" t="s">
        <v>76</v>
      </c>
    </row>
    <row r="276" spans="1:15">
      <c r="A276" t="s">
        <v>186</v>
      </c>
      <c r="B276" t="s">
        <v>22</v>
      </c>
      <c r="C276" t="s">
        <v>23</v>
      </c>
      <c r="D276" t="s">
        <v>42</v>
      </c>
      <c r="E276" s="1">
        <v>44098</v>
      </c>
      <c r="F276" t="s">
        <v>19</v>
      </c>
      <c r="G276" t="str">
        <f ca="1">VLOOKUP(RAND(),{0,"Lucas";0.39,"Roberto";0.63,"Carla";0.78,"Pedro";0.93,"Emilly"},2,TRUE)</f>
        <v>Carla</v>
      </c>
      <c r="H276">
        <v>1</v>
      </c>
      <c r="I276">
        <v>550</v>
      </c>
      <c r="J276">
        <v>0.4</v>
      </c>
      <c r="K276">
        <f>PRODUCT(TabelaVendas1__2[[#This Row],[Valor_UnitarioXQtd]],TabelaVendas1__2[[#This Row],[Percentual_Lucro]])</f>
        <v>220</v>
      </c>
      <c r="L276">
        <v>550</v>
      </c>
      <c r="M276">
        <f>PRODUCT(TabelaVendas1__2[[#This Row],[Quantidade]],TabelaVendas1__2[[#This Row],[Valor_Unitario]])</f>
        <v>550</v>
      </c>
      <c r="N276">
        <f>SUM(TabelaVendas1__2[[#This Row],[Valor_UnitarioXQtd]],TabelaVendas1__2[[#This Row],[Valor_Lucro]])</f>
        <v>770</v>
      </c>
      <c r="O276" s="2" t="s">
        <v>43</v>
      </c>
    </row>
    <row r="277" spans="1:15">
      <c r="A277" t="s">
        <v>187</v>
      </c>
      <c r="B277" t="s">
        <v>22</v>
      </c>
      <c r="C277" t="s">
        <v>23</v>
      </c>
      <c r="D277" t="s">
        <v>97</v>
      </c>
      <c r="E277" s="1">
        <v>44098</v>
      </c>
      <c r="F277" t="s">
        <v>19</v>
      </c>
      <c r="G277" t="str">
        <f ca="1">VLOOKUP(RAND(),{0,"Lucas";0.39,"Roberto";0.63,"Carla";0.78,"Pedro";0.93,"Emilly"},2,TRUE)</f>
        <v>Lucas</v>
      </c>
      <c r="H277">
        <v>1</v>
      </c>
      <c r="I277">
        <v>250</v>
      </c>
      <c r="J277">
        <v>0.4</v>
      </c>
      <c r="K277">
        <f>PRODUCT(TabelaVendas1__2[[#This Row],[Valor_UnitarioXQtd]],TabelaVendas1__2[[#This Row],[Percentual_Lucro]])</f>
        <v>100</v>
      </c>
      <c r="L277">
        <v>250</v>
      </c>
      <c r="M277">
        <f>PRODUCT(TabelaVendas1__2[[#This Row],[Quantidade]],TabelaVendas1__2[[#This Row],[Valor_Unitario]])</f>
        <v>250</v>
      </c>
      <c r="N277">
        <f>SUM(TabelaVendas1__2[[#This Row],[Valor_UnitarioXQtd]],TabelaVendas1__2[[#This Row],[Valor_Lucro]])</f>
        <v>350</v>
      </c>
      <c r="O277" s="2" t="s">
        <v>98</v>
      </c>
    </row>
    <row r="278" spans="1:15">
      <c r="A278" t="s">
        <v>145</v>
      </c>
      <c r="B278" t="s">
        <v>22</v>
      </c>
      <c r="C278" t="s">
        <v>23</v>
      </c>
      <c r="D278" t="s">
        <v>146</v>
      </c>
      <c r="E278" s="1">
        <v>44098</v>
      </c>
      <c r="F278" t="s">
        <v>19</v>
      </c>
      <c r="G278" t="str">
        <f ca="1">VLOOKUP(RAND(),{0,"Lucas";0.39,"Roberto";0.63,"Carla";0.78,"Pedro";0.93,"Emilly"},2,TRUE)</f>
        <v>Lucas</v>
      </c>
      <c r="H278">
        <v>1</v>
      </c>
      <c r="I278">
        <v>4000</v>
      </c>
      <c r="J278">
        <v>0.4</v>
      </c>
      <c r="K278">
        <f>PRODUCT(TabelaVendas1__2[[#This Row],[Valor_UnitarioXQtd]],TabelaVendas1__2[[#This Row],[Percentual_Lucro]])</f>
        <v>1600</v>
      </c>
      <c r="L278">
        <v>4000</v>
      </c>
      <c r="M278">
        <f>PRODUCT(TabelaVendas1__2[[#This Row],[Quantidade]],TabelaVendas1__2[[#This Row],[Valor_Unitario]])</f>
        <v>4000</v>
      </c>
      <c r="N278">
        <f>SUM(TabelaVendas1__2[[#This Row],[Valor_UnitarioXQtd]],TabelaVendas1__2[[#This Row],[Valor_Lucro]])</f>
        <v>5600</v>
      </c>
      <c r="O278" s="2" t="s">
        <v>147</v>
      </c>
    </row>
    <row r="279" spans="1:15">
      <c r="A279" t="s">
        <v>142</v>
      </c>
      <c r="B279" t="s">
        <v>22</v>
      </c>
      <c r="C279" t="s">
        <v>23</v>
      </c>
      <c r="D279" t="s">
        <v>29</v>
      </c>
      <c r="E279" s="1">
        <v>44098</v>
      </c>
      <c r="F279" t="s">
        <v>30</v>
      </c>
      <c r="G279" t="str">
        <f ca="1">VLOOKUP(RAND(),{0,"Lucas";0.39,"Roberto";0.63,"Carla";0.78,"Pedro";0.93,"Emilly"},2,TRUE)</f>
        <v>Emilly</v>
      </c>
      <c r="H279">
        <v>1</v>
      </c>
      <c r="I279">
        <v>850</v>
      </c>
      <c r="J279">
        <v>0.4</v>
      </c>
      <c r="K279">
        <f>PRODUCT(TabelaVendas1__2[[#This Row],[Valor_UnitarioXQtd]],TabelaVendas1__2[[#This Row],[Percentual_Lucro]])</f>
        <v>340</v>
      </c>
      <c r="L279">
        <v>850</v>
      </c>
      <c r="M279">
        <f>PRODUCT(TabelaVendas1__2[[#This Row],[Quantidade]],TabelaVendas1__2[[#This Row],[Valor_Unitario]])</f>
        <v>850</v>
      </c>
      <c r="N279">
        <f>SUM(TabelaVendas1__2[[#This Row],[Valor_UnitarioXQtd]],TabelaVendas1__2[[#This Row],[Valor_Lucro]])</f>
        <v>1190</v>
      </c>
      <c r="O279" s="2" t="s">
        <v>31</v>
      </c>
    </row>
    <row r="280" spans="1:15">
      <c r="A280" t="s">
        <v>46</v>
      </c>
      <c r="B280" t="s">
        <v>22</v>
      </c>
      <c r="C280" t="s">
        <v>23</v>
      </c>
      <c r="D280" t="s">
        <v>47</v>
      </c>
      <c r="E280" s="1">
        <v>44098</v>
      </c>
      <c r="F280" t="s">
        <v>27</v>
      </c>
      <c r="G280" t="str">
        <f ca="1">VLOOKUP(RAND(),{0,"Lucas";0.39,"Roberto";0.63,"Carla";0.78,"Pedro";0.93,"Emilly"},2,TRUE)</f>
        <v>Carla</v>
      </c>
      <c r="H280">
        <v>1</v>
      </c>
      <c r="I280">
        <v>1150</v>
      </c>
      <c r="J280">
        <v>0.4</v>
      </c>
      <c r="K280">
        <f>PRODUCT(TabelaVendas1__2[[#This Row],[Valor_UnitarioXQtd]],TabelaVendas1__2[[#This Row],[Percentual_Lucro]])</f>
        <v>460</v>
      </c>
      <c r="L280">
        <v>1150</v>
      </c>
      <c r="M280">
        <f>PRODUCT(TabelaVendas1__2[[#This Row],[Quantidade]],TabelaVendas1__2[[#This Row],[Valor_Unitario]])</f>
        <v>1150</v>
      </c>
      <c r="N280">
        <f>SUM(TabelaVendas1__2[[#This Row],[Valor_UnitarioXQtd]],TabelaVendas1__2[[#This Row],[Valor_Lucro]])</f>
        <v>1610</v>
      </c>
      <c r="O280" s="2" t="s">
        <v>48</v>
      </c>
    </row>
    <row r="281" spans="1:15">
      <c r="A281" t="s">
        <v>91</v>
      </c>
      <c r="B281" t="s">
        <v>22</v>
      </c>
      <c r="C281" t="s">
        <v>23</v>
      </c>
      <c r="D281" t="s">
        <v>18</v>
      </c>
      <c r="E281" s="1">
        <v>44133</v>
      </c>
      <c r="F281" t="s">
        <v>19</v>
      </c>
      <c r="G281" t="str">
        <f ca="1">VLOOKUP(RAND(),{0,"Lucas";0.39,"Roberto";0.63,"Carla";0.78,"Pedro";0.93,"Emilly"},2,TRUE)</f>
        <v>Emilly</v>
      </c>
      <c r="H281">
        <v>1</v>
      </c>
      <c r="I281">
        <v>12500</v>
      </c>
      <c r="J281">
        <v>0.4</v>
      </c>
      <c r="K281">
        <f>PRODUCT(TabelaVendas1__2[[#This Row],[Valor_UnitarioXQtd]],TabelaVendas1__2[[#This Row],[Percentual_Lucro]])</f>
        <v>5000</v>
      </c>
      <c r="L281">
        <v>12500</v>
      </c>
      <c r="M281">
        <f>PRODUCT(TabelaVendas1__2[[#This Row],[Quantidade]],TabelaVendas1__2[[#This Row],[Valor_Unitario]])</f>
        <v>12500</v>
      </c>
      <c r="N281">
        <f>SUM(TabelaVendas1__2[[#This Row],[Valor_UnitarioXQtd]],TabelaVendas1__2[[#This Row],[Valor_Lucro]])</f>
        <v>17500</v>
      </c>
      <c r="O281" s="2" t="s">
        <v>20</v>
      </c>
    </row>
    <row r="282" spans="1:15">
      <c r="A282" t="s">
        <v>94</v>
      </c>
      <c r="B282" t="s">
        <v>22</v>
      </c>
      <c r="C282" t="s">
        <v>33</v>
      </c>
      <c r="D282" t="s">
        <v>54</v>
      </c>
      <c r="E282" s="1">
        <v>44133</v>
      </c>
      <c r="F282" t="s">
        <v>19</v>
      </c>
      <c r="G282" t="str">
        <f ca="1">VLOOKUP(RAND(),{0,"Lucas";0.39,"Roberto";0.63,"Carla";0.78,"Pedro";0.93,"Emilly"},2,TRUE)</f>
        <v>Emilly</v>
      </c>
      <c r="H282">
        <v>1</v>
      </c>
      <c r="I282">
        <v>5500</v>
      </c>
      <c r="J282">
        <v>0.4</v>
      </c>
      <c r="K282">
        <f>PRODUCT(TabelaVendas1__2[[#This Row],[Valor_UnitarioXQtd]],TabelaVendas1__2[[#This Row],[Percentual_Lucro]])</f>
        <v>2200</v>
      </c>
      <c r="L282">
        <v>5500</v>
      </c>
      <c r="M282">
        <f>PRODUCT(TabelaVendas1__2[[#This Row],[Quantidade]],TabelaVendas1__2[[#This Row],[Valor_Unitario]])</f>
        <v>5500</v>
      </c>
      <c r="N282">
        <f>SUM(TabelaVendas1__2[[#This Row],[Valor_UnitarioXQtd]],TabelaVendas1__2[[#This Row],[Valor_Lucro]])</f>
        <v>7700</v>
      </c>
      <c r="O282" s="2" t="s">
        <v>55</v>
      </c>
    </row>
    <row r="283" spans="1:15">
      <c r="A283" t="s">
        <v>109</v>
      </c>
      <c r="B283" t="s">
        <v>22</v>
      </c>
      <c r="C283" t="s">
        <v>23</v>
      </c>
      <c r="D283" t="s">
        <v>42</v>
      </c>
      <c r="E283" s="1">
        <v>44161</v>
      </c>
      <c r="F283" t="s">
        <v>27</v>
      </c>
      <c r="G283" t="str">
        <f ca="1">VLOOKUP(RAND(),{0,"Lucas";0.39,"Roberto";0.63,"Carla";0.78,"Pedro";0.93,"Emilly"},2,TRUE)</f>
        <v>Lucas</v>
      </c>
      <c r="H283">
        <v>1</v>
      </c>
      <c r="I283">
        <v>5800</v>
      </c>
      <c r="J283">
        <v>0.4</v>
      </c>
      <c r="K283">
        <f>PRODUCT(TabelaVendas1__2[[#This Row],[Valor_UnitarioXQtd]],TabelaVendas1__2[[#This Row],[Percentual_Lucro]])</f>
        <v>2320</v>
      </c>
      <c r="L283">
        <v>5800</v>
      </c>
      <c r="M283">
        <f>PRODUCT(TabelaVendas1__2[[#This Row],[Quantidade]],TabelaVendas1__2[[#This Row],[Valor_Unitario]])</f>
        <v>5800</v>
      </c>
      <c r="N283">
        <f>SUM(TabelaVendas1__2[[#This Row],[Valor_UnitarioXQtd]],TabelaVendas1__2[[#This Row],[Valor_Lucro]])</f>
        <v>8120</v>
      </c>
      <c r="O283" s="2" t="s">
        <v>43</v>
      </c>
    </row>
    <row r="284" spans="1:15">
      <c r="A284" t="s">
        <v>86</v>
      </c>
      <c r="B284" t="s">
        <v>22</v>
      </c>
      <c r="C284" t="s">
        <v>23</v>
      </c>
      <c r="D284" t="s">
        <v>18</v>
      </c>
      <c r="E284" s="1">
        <v>44161</v>
      </c>
      <c r="F284" t="s">
        <v>19</v>
      </c>
      <c r="G284" t="str">
        <f ca="1">VLOOKUP(RAND(),{0,"Lucas";0.39,"Roberto";0.63,"Carla";0.78,"Pedro";0.93,"Emilly"},2,TRUE)</f>
        <v>Roberto</v>
      </c>
      <c r="H284">
        <v>1</v>
      </c>
      <c r="I284">
        <v>9900</v>
      </c>
      <c r="J284">
        <v>0.4</v>
      </c>
      <c r="K284">
        <f>PRODUCT(TabelaVendas1__2[[#This Row],[Valor_UnitarioXQtd]],TabelaVendas1__2[[#This Row],[Percentual_Lucro]])</f>
        <v>3960</v>
      </c>
      <c r="L284">
        <v>9900</v>
      </c>
      <c r="M284">
        <f>PRODUCT(TabelaVendas1__2[[#This Row],[Quantidade]],TabelaVendas1__2[[#This Row],[Valor_Unitario]])</f>
        <v>9900</v>
      </c>
      <c r="N284">
        <f>SUM(TabelaVendas1__2[[#This Row],[Valor_UnitarioXQtd]],TabelaVendas1__2[[#This Row],[Valor_Lucro]])</f>
        <v>13860</v>
      </c>
      <c r="O284" s="2" t="s">
        <v>20</v>
      </c>
    </row>
    <row r="285" spans="1:15">
      <c r="A285" t="s">
        <v>177</v>
      </c>
      <c r="B285" t="s">
        <v>22</v>
      </c>
      <c r="C285" t="s">
        <v>23</v>
      </c>
      <c r="D285" t="s">
        <v>75</v>
      </c>
      <c r="E285" s="1">
        <v>44194</v>
      </c>
      <c r="F285" t="s">
        <v>19</v>
      </c>
      <c r="G285" t="str">
        <f ca="1">VLOOKUP(RAND(),{0,"Lucas";0.39,"Roberto";0.63,"Carla";0.78,"Pedro";0.93,"Emilly"},2,TRUE)</f>
        <v>Pedro</v>
      </c>
      <c r="H285">
        <v>2</v>
      </c>
      <c r="I285">
        <v>5500</v>
      </c>
      <c r="J285">
        <v>0.4</v>
      </c>
      <c r="K285">
        <f>PRODUCT(TabelaVendas1__2[[#This Row],[Valor_UnitarioXQtd]],TabelaVendas1__2[[#This Row],[Percentual_Lucro]])</f>
        <v>4400</v>
      </c>
      <c r="L285">
        <v>11000</v>
      </c>
      <c r="M285">
        <f>PRODUCT(TabelaVendas1__2[[#This Row],[Quantidade]],TabelaVendas1__2[[#This Row],[Valor_Unitario]])</f>
        <v>11000</v>
      </c>
      <c r="N285">
        <f>SUM(TabelaVendas1__2[[#This Row],[Valor_UnitarioXQtd]],TabelaVendas1__2[[#This Row],[Valor_Lucro]])</f>
        <v>15400</v>
      </c>
      <c r="O285" s="2" t="s">
        <v>76</v>
      </c>
    </row>
    <row r="286" spans="1:15">
      <c r="A286" t="s">
        <v>132</v>
      </c>
      <c r="B286" t="s">
        <v>22</v>
      </c>
      <c r="C286" t="s">
        <v>33</v>
      </c>
      <c r="D286" t="s">
        <v>34</v>
      </c>
      <c r="E286" s="1">
        <v>44194</v>
      </c>
      <c r="F286" t="s">
        <v>30</v>
      </c>
      <c r="G286" t="str">
        <f ca="1">VLOOKUP(RAND(),{0,"Lucas";0.39,"Roberto";0.63,"Carla";0.78,"Pedro";0.93,"Emilly"},2,TRUE)</f>
        <v>Carla</v>
      </c>
      <c r="H286">
        <v>1</v>
      </c>
      <c r="I286">
        <v>8500</v>
      </c>
      <c r="J286">
        <v>0.4</v>
      </c>
      <c r="K286">
        <f>PRODUCT(TabelaVendas1__2[[#This Row],[Valor_UnitarioXQtd]],TabelaVendas1__2[[#This Row],[Percentual_Lucro]])</f>
        <v>3400</v>
      </c>
      <c r="L286">
        <v>8500</v>
      </c>
      <c r="M286">
        <f>PRODUCT(TabelaVendas1__2[[#This Row],[Quantidade]],TabelaVendas1__2[[#This Row],[Valor_Unitario]])</f>
        <v>8500</v>
      </c>
      <c r="N286">
        <f>SUM(TabelaVendas1__2[[#This Row],[Valor_UnitarioXQtd]],TabelaVendas1__2[[#This Row],[Valor_Lucro]])</f>
        <v>11900</v>
      </c>
      <c r="O286" s="2" t="s">
        <v>35</v>
      </c>
    </row>
    <row r="287" spans="1:15">
      <c r="A287" t="s">
        <v>91</v>
      </c>
      <c r="B287" t="s">
        <v>22</v>
      </c>
      <c r="C287" t="s">
        <v>23</v>
      </c>
      <c r="D287" t="s">
        <v>18</v>
      </c>
      <c r="E287" s="1">
        <v>44224</v>
      </c>
      <c r="F287" t="s">
        <v>30</v>
      </c>
      <c r="G287" t="str">
        <f ca="1">VLOOKUP(RAND(),{0,"Lucas";0.39,"Roberto";0.63,"Carla";0.78,"Pedro";0.93,"Emilly"},2,TRUE)</f>
        <v>Lucas</v>
      </c>
      <c r="H287">
        <v>1</v>
      </c>
      <c r="I287">
        <v>2250</v>
      </c>
      <c r="J287">
        <v>0.4</v>
      </c>
      <c r="K287">
        <f>PRODUCT(TabelaVendas1__2[[#This Row],[Valor_UnitarioXQtd]],TabelaVendas1__2[[#This Row],[Percentual_Lucro]])</f>
        <v>900</v>
      </c>
      <c r="L287">
        <v>2250</v>
      </c>
      <c r="M287">
        <f>PRODUCT(TabelaVendas1__2[[#This Row],[Quantidade]],TabelaVendas1__2[[#This Row],[Valor_Unitario]])</f>
        <v>2250</v>
      </c>
      <c r="N287">
        <f>SUM(TabelaVendas1__2[[#This Row],[Valor_UnitarioXQtd]],TabelaVendas1__2[[#This Row],[Valor_Lucro]])</f>
        <v>3150</v>
      </c>
      <c r="O287" s="2" t="s">
        <v>20</v>
      </c>
    </row>
    <row r="288" spans="1:15">
      <c r="A288" t="s">
        <v>144</v>
      </c>
      <c r="B288" t="s">
        <v>22</v>
      </c>
      <c r="C288" t="s">
        <v>23</v>
      </c>
      <c r="D288" t="s">
        <v>126</v>
      </c>
      <c r="E288" s="1">
        <v>44224</v>
      </c>
      <c r="F288" t="s">
        <v>27</v>
      </c>
      <c r="G288" t="str">
        <f ca="1">VLOOKUP(RAND(),{0,"Lucas";0.39,"Roberto";0.63,"Carla";0.78,"Pedro";0.93,"Emilly"},2,TRUE)</f>
        <v>Carla</v>
      </c>
      <c r="H288">
        <v>1</v>
      </c>
      <c r="I288">
        <v>1950</v>
      </c>
      <c r="J288">
        <v>0.4</v>
      </c>
      <c r="K288">
        <f>PRODUCT(TabelaVendas1__2[[#This Row],[Valor_UnitarioXQtd]],TabelaVendas1__2[[#This Row],[Percentual_Lucro]])</f>
        <v>780</v>
      </c>
      <c r="L288">
        <v>1950</v>
      </c>
      <c r="M288">
        <f>PRODUCT(TabelaVendas1__2[[#This Row],[Quantidade]],TabelaVendas1__2[[#This Row],[Valor_Unitario]])</f>
        <v>1950</v>
      </c>
      <c r="N288">
        <f>SUM(TabelaVendas1__2[[#This Row],[Valor_UnitarioXQtd]],TabelaVendas1__2[[#This Row],[Valor_Lucro]])</f>
        <v>2730</v>
      </c>
      <c r="O288" s="2" t="s">
        <v>127</v>
      </c>
    </row>
    <row r="289" spans="1:15">
      <c r="A289" t="s">
        <v>145</v>
      </c>
      <c r="B289" t="s">
        <v>22</v>
      </c>
      <c r="C289" t="s">
        <v>23</v>
      </c>
      <c r="D289" t="s">
        <v>146</v>
      </c>
      <c r="E289" s="1">
        <v>44224</v>
      </c>
      <c r="F289" t="s">
        <v>30</v>
      </c>
      <c r="G289" t="str">
        <f ca="1">VLOOKUP(RAND(),{0,"Lucas";0.39,"Roberto";0.63,"Carla";0.78,"Pedro";0.93,"Emilly"},2,TRUE)</f>
        <v>Pedro</v>
      </c>
      <c r="H289">
        <v>1</v>
      </c>
      <c r="I289">
        <v>3000</v>
      </c>
      <c r="J289">
        <v>0.4</v>
      </c>
      <c r="K289">
        <f>PRODUCT(TabelaVendas1__2[[#This Row],[Valor_UnitarioXQtd]],TabelaVendas1__2[[#This Row],[Percentual_Lucro]])</f>
        <v>1200</v>
      </c>
      <c r="L289">
        <v>3000</v>
      </c>
      <c r="M289">
        <f>PRODUCT(TabelaVendas1__2[[#This Row],[Quantidade]],TabelaVendas1__2[[#This Row],[Valor_Unitario]])</f>
        <v>3000</v>
      </c>
      <c r="N289">
        <f>SUM(TabelaVendas1__2[[#This Row],[Valor_UnitarioXQtd]],TabelaVendas1__2[[#This Row],[Valor_Lucro]])</f>
        <v>4200</v>
      </c>
      <c r="O289" s="2" t="s">
        <v>147</v>
      </c>
    </row>
    <row r="290" spans="1:15">
      <c r="A290" t="s">
        <v>188</v>
      </c>
      <c r="B290" t="s">
        <v>51</v>
      </c>
      <c r="C290" t="s">
        <v>17</v>
      </c>
      <c r="D290" t="s">
        <v>29</v>
      </c>
      <c r="E290" s="1">
        <v>44224</v>
      </c>
      <c r="F290" t="s">
        <v>19</v>
      </c>
      <c r="G290" t="str">
        <f ca="1">VLOOKUP(RAND(),{0,"Lucas";0.39,"Roberto";0.63,"Carla";0.78,"Pedro";0.93,"Emilly"},2,TRUE)</f>
        <v>Lucas</v>
      </c>
      <c r="H290">
        <v>1</v>
      </c>
      <c r="I290">
        <v>900</v>
      </c>
      <c r="J290">
        <v>0.4</v>
      </c>
      <c r="K290">
        <f>PRODUCT(TabelaVendas1__2[[#This Row],[Valor_UnitarioXQtd]],TabelaVendas1__2[[#This Row],[Percentual_Lucro]])</f>
        <v>360</v>
      </c>
      <c r="L290">
        <v>900</v>
      </c>
      <c r="M290">
        <f>PRODUCT(TabelaVendas1__2[[#This Row],[Quantidade]],TabelaVendas1__2[[#This Row],[Valor_Unitario]])</f>
        <v>900</v>
      </c>
      <c r="N290">
        <f>SUM(TabelaVendas1__2[[#This Row],[Valor_UnitarioXQtd]],TabelaVendas1__2[[#This Row],[Valor_Lucro]])</f>
        <v>1260</v>
      </c>
      <c r="O290" s="2" t="s">
        <v>31</v>
      </c>
    </row>
    <row r="291" spans="1:15">
      <c r="A291" t="s">
        <v>93</v>
      </c>
      <c r="B291" t="s">
        <v>22</v>
      </c>
      <c r="C291" t="s">
        <v>23</v>
      </c>
      <c r="D291" t="s">
        <v>34</v>
      </c>
      <c r="E291" s="1">
        <v>44224</v>
      </c>
      <c r="F291" t="s">
        <v>30</v>
      </c>
      <c r="G291" t="str">
        <f ca="1">VLOOKUP(RAND(),{0,"Lucas";0.39,"Roberto";0.63,"Carla";0.78,"Pedro";0.93,"Emilly"},2,TRUE)</f>
        <v>Lucas</v>
      </c>
      <c r="H291">
        <v>1</v>
      </c>
      <c r="I291">
        <v>3500</v>
      </c>
      <c r="J291">
        <v>0.4</v>
      </c>
      <c r="K291">
        <f>PRODUCT(TabelaVendas1__2[[#This Row],[Valor_UnitarioXQtd]],TabelaVendas1__2[[#This Row],[Percentual_Lucro]])</f>
        <v>1400</v>
      </c>
      <c r="L291">
        <v>3500</v>
      </c>
      <c r="M291">
        <f>PRODUCT(TabelaVendas1__2[[#This Row],[Quantidade]],TabelaVendas1__2[[#This Row],[Valor_Unitario]])</f>
        <v>3500</v>
      </c>
      <c r="N291">
        <f>SUM(TabelaVendas1__2[[#This Row],[Valor_UnitarioXQtd]],TabelaVendas1__2[[#This Row],[Valor_Lucro]])</f>
        <v>4900</v>
      </c>
      <c r="O291" s="2" t="s">
        <v>35</v>
      </c>
    </row>
    <row r="292" spans="1:15">
      <c r="A292" t="s">
        <v>175</v>
      </c>
      <c r="B292" t="s">
        <v>16</v>
      </c>
      <c r="C292" t="s">
        <v>17</v>
      </c>
      <c r="D292" t="s">
        <v>34</v>
      </c>
      <c r="E292" s="1">
        <v>44224</v>
      </c>
      <c r="F292" t="s">
        <v>19</v>
      </c>
      <c r="G292" t="str">
        <f ca="1">VLOOKUP(RAND(),{0,"Lucas";0.39,"Roberto";0.63,"Carla";0.78,"Pedro";0.93,"Emilly"},2,TRUE)</f>
        <v>Carla</v>
      </c>
      <c r="H292">
        <v>1</v>
      </c>
      <c r="I292">
        <v>2000</v>
      </c>
      <c r="J292">
        <v>0.4</v>
      </c>
      <c r="K292">
        <f>PRODUCT(TabelaVendas1__2[[#This Row],[Valor_UnitarioXQtd]],TabelaVendas1__2[[#This Row],[Percentual_Lucro]])</f>
        <v>800</v>
      </c>
      <c r="L292">
        <v>2000</v>
      </c>
      <c r="M292">
        <f>PRODUCT(TabelaVendas1__2[[#This Row],[Quantidade]],TabelaVendas1__2[[#This Row],[Valor_Unitario]])</f>
        <v>2000</v>
      </c>
      <c r="N292">
        <f>SUM(TabelaVendas1__2[[#This Row],[Valor_UnitarioXQtd]],TabelaVendas1__2[[#This Row],[Valor_Lucro]])</f>
        <v>2800</v>
      </c>
      <c r="O292" s="2" t="s">
        <v>35</v>
      </c>
    </row>
    <row r="293" spans="1:15">
      <c r="A293" t="s">
        <v>177</v>
      </c>
      <c r="B293" t="s">
        <v>22</v>
      </c>
      <c r="C293" t="s">
        <v>23</v>
      </c>
      <c r="D293" t="s">
        <v>75</v>
      </c>
      <c r="E293" s="1">
        <v>44254</v>
      </c>
      <c r="F293" t="s">
        <v>30</v>
      </c>
      <c r="G293" t="str">
        <f ca="1">VLOOKUP(RAND(),{0,"Lucas";0.39,"Roberto";0.63,"Carla";0.78,"Pedro";0.93,"Emilly"},2,TRUE)</f>
        <v>Pedro</v>
      </c>
      <c r="H293">
        <v>2</v>
      </c>
      <c r="I293">
        <v>6500</v>
      </c>
      <c r="J293">
        <v>0.4</v>
      </c>
      <c r="K293">
        <f>PRODUCT(TabelaVendas1__2[[#This Row],[Valor_UnitarioXQtd]],TabelaVendas1__2[[#This Row],[Percentual_Lucro]])</f>
        <v>5200</v>
      </c>
      <c r="L293">
        <v>13000</v>
      </c>
      <c r="M293">
        <f>PRODUCT(TabelaVendas1__2[[#This Row],[Quantidade]],TabelaVendas1__2[[#This Row],[Valor_Unitario]])</f>
        <v>13000</v>
      </c>
      <c r="N293">
        <f>SUM(TabelaVendas1__2[[#This Row],[Valor_UnitarioXQtd]],TabelaVendas1__2[[#This Row],[Valor_Lucro]])</f>
        <v>18200</v>
      </c>
      <c r="O293" s="2" t="s">
        <v>76</v>
      </c>
    </row>
    <row r="294" spans="1:15">
      <c r="A294" t="s">
        <v>91</v>
      </c>
      <c r="B294" t="s">
        <v>22</v>
      </c>
      <c r="C294" t="s">
        <v>23</v>
      </c>
      <c r="D294" t="s">
        <v>18</v>
      </c>
      <c r="E294" s="1">
        <v>44254</v>
      </c>
      <c r="F294" t="s">
        <v>27</v>
      </c>
      <c r="G294" t="str">
        <f ca="1">VLOOKUP(RAND(),{0,"Lucas";0.39,"Roberto";0.63,"Carla";0.78,"Pedro";0.93,"Emilly"},2,TRUE)</f>
        <v>Roberto</v>
      </c>
      <c r="H294">
        <v>1</v>
      </c>
      <c r="I294">
        <v>2700</v>
      </c>
      <c r="J294">
        <v>0.4</v>
      </c>
      <c r="K294">
        <f>PRODUCT(TabelaVendas1__2[[#This Row],[Valor_UnitarioXQtd]],TabelaVendas1__2[[#This Row],[Percentual_Lucro]])</f>
        <v>1080</v>
      </c>
      <c r="L294">
        <v>2700</v>
      </c>
      <c r="M294">
        <f>PRODUCT(TabelaVendas1__2[[#This Row],[Quantidade]],TabelaVendas1__2[[#This Row],[Valor_Unitario]])</f>
        <v>2700</v>
      </c>
      <c r="N294">
        <f>SUM(TabelaVendas1__2[[#This Row],[Valor_UnitarioXQtd]],TabelaVendas1__2[[#This Row],[Valor_Lucro]])</f>
        <v>3780</v>
      </c>
      <c r="O294" s="2" t="s">
        <v>20</v>
      </c>
    </row>
    <row r="295" spans="1:15">
      <c r="A295" t="s">
        <v>125</v>
      </c>
      <c r="B295" t="s">
        <v>22</v>
      </c>
      <c r="C295" t="s">
        <v>23</v>
      </c>
      <c r="D295" t="s">
        <v>126</v>
      </c>
      <c r="E295" s="1">
        <v>44254</v>
      </c>
      <c r="F295" t="s">
        <v>19</v>
      </c>
      <c r="G295" t="str">
        <f ca="1">VLOOKUP(RAND(),{0,"Lucas";0.39,"Roberto";0.63,"Carla";0.78,"Pedro";0.93,"Emilly"},2,TRUE)</f>
        <v>Pedro</v>
      </c>
      <c r="H295">
        <v>1</v>
      </c>
      <c r="I295">
        <v>1500</v>
      </c>
      <c r="J295">
        <v>0.4</v>
      </c>
      <c r="K295">
        <f>PRODUCT(TabelaVendas1__2[[#This Row],[Valor_UnitarioXQtd]],TabelaVendas1__2[[#This Row],[Percentual_Lucro]])</f>
        <v>600</v>
      </c>
      <c r="L295">
        <v>1500</v>
      </c>
      <c r="M295">
        <f>PRODUCT(TabelaVendas1__2[[#This Row],[Quantidade]],TabelaVendas1__2[[#This Row],[Valor_Unitario]])</f>
        <v>1500</v>
      </c>
      <c r="N295">
        <f>SUM(TabelaVendas1__2[[#This Row],[Valor_UnitarioXQtd]],TabelaVendas1__2[[#This Row],[Valor_Lucro]])</f>
        <v>2100</v>
      </c>
      <c r="O295" s="2" t="s">
        <v>127</v>
      </c>
    </row>
    <row r="296" spans="1:15">
      <c r="A296" t="s">
        <v>149</v>
      </c>
      <c r="B296" t="s">
        <v>22</v>
      </c>
      <c r="C296" t="s">
        <v>23</v>
      </c>
      <c r="D296" t="s">
        <v>34</v>
      </c>
      <c r="E296" s="1">
        <v>44254</v>
      </c>
      <c r="F296" t="s">
        <v>30</v>
      </c>
      <c r="G296" t="str">
        <f ca="1">VLOOKUP(RAND(),{0,"Lucas";0.39,"Roberto";0.63,"Carla";0.78,"Pedro";0.93,"Emilly"},2,TRUE)</f>
        <v>Lucas</v>
      </c>
      <c r="H296">
        <v>1</v>
      </c>
      <c r="I296">
        <v>4500</v>
      </c>
      <c r="J296">
        <v>0.4</v>
      </c>
      <c r="K296">
        <f>PRODUCT(TabelaVendas1__2[[#This Row],[Valor_UnitarioXQtd]],TabelaVendas1__2[[#This Row],[Percentual_Lucro]])</f>
        <v>1800</v>
      </c>
      <c r="L296">
        <v>4500</v>
      </c>
      <c r="M296">
        <f>PRODUCT(TabelaVendas1__2[[#This Row],[Quantidade]],TabelaVendas1__2[[#This Row],[Valor_Unitario]])</f>
        <v>4500</v>
      </c>
      <c r="N296">
        <f>SUM(TabelaVendas1__2[[#This Row],[Valor_UnitarioXQtd]],TabelaVendas1__2[[#This Row],[Valor_Lucro]])</f>
        <v>6300</v>
      </c>
      <c r="O296" s="2" t="s">
        <v>35</v>
      </c>
    </row>
    <row r="297" spans="1:15">
      <c r="A297" t="s">
        <v>177</v>
      </c>
      <c r="B297" t="s">
        <v>22</v>
      </c>
      <c r="C297" t="s">
        <v>23</v>
      </c>
      <c r="D297" t="s">
        <v>75</v>
      </c>
      <c r="E297" s="1">
        <v>44285</v>
      </c>
      <c r="F297" t="s">
        <v>27</v>
      </c>
      <c r="G297" t="str">
        <f ca="1">VLOOKUP(RAND(),{0,"Lucas";0.39,"Roberto";0.63,"Carla";0.78,"Pedro";0.93,"Emilly"},2,TRUE)</f>
        <v>Lucas</v>
      </c>
      <c r="H297">
        <v>1</v>
      </c>
      <c r="I297">
        <v>3300</v>
      </c>
      <c r="J297">
        <v>0.4</v>
      </c>
      <c r="K297">
        <f>PRODUCT(TabelaVendas1__2[[#This Row],[Valor_UnitarioXQtd]],TabelaVendas1__2[[#This Row],[Percentual_Lucro]])</f>
        <v>1320</v>
      </c>
      <c r="L297">
        <v>3300</v>
      </c>
      <c r="M297">
        <f>PRODUCT(TabelaVendas1__2[[#This Row],[Quantidade]],TabelaVendas1__2[[#This Row],[Valor_Unitario]])</f>
        <v>3300</v>
      </c>
      <c r="N297">
        <f>SUM(TabelaVendas1__2[[#This Row],[Valor_UnitarioXQtd]],TabelaVendas1__2[[#This Row],[Valor_Lucro]])</f>
        <v>4620</v>
      </c>
      <c r="O297" s="2" t="s">
        <v>76</v>
      </c>
    </row>
    <row r="298" spans="1:15">
      <c r="A298" t="s">
        <v>102</v>
      </c>
      <c r="B298" t="s">
        <v>22</v>
      </c>
      <c r="C298" t="s">
        <v>23</v>
      </c>
      <c r="D298" t="s">
        <v>75</v>
      </c>
      <c r="E298" s="1">
        <v>44285</v>
      </c>
      <c r="F298" t="s">
        <v>19</v>
      </c>
      <c r="G298" t="str">
        <f ca="1">VLOOKUP(RAND(),{0,"Lucas";0.39,"Roberto";0.63,"Carla";0.78,"Pedro";0.93,"Emilly"},2,TRUE)</f>
        <v>Lucas</v>
      </c>
      <c r="H298">
        <v>2</v>
      </c>
      <c r="I298">
        <v>2900</v>
      </c>
      <c r="J298">
        <v>0.4</v>
      </c>
      <c r="K298">
        <f>PRODUCT(TabelaVendas1__2[[#This Row],[Valor_UnitarioXQtd]],TabelaVendas1__2[[#This Row],[Percentual_Lucro]])</f>
        <v>2320</v>
      </c>
      <c r="L298">
        <v>5800</v>
      </c>
      <c r="M298">
        <f>PRODUCT(TabelaVendas1__2[[#This Row],[Quantidade]],TabelaVendas1__2[[#This Row],[Valor_Unitario]])</f>
        <v>5800</v>
      </c>
      <c r="N298">
        <f>SUM(TabelaVendas1__2[[#This Row],[Valor_UnitarioXQtd]],TabelaVendas1__2[[#This Row],[Valor_Lucro]])</f>
        <v>8120</v>
      </c>
      <c r="O298" s="2" t="s">
        <v>76</v>
      </c>
    </row>
    <row r="299" spans="1:15">
      <c r="A299" t="s">
        <v>91</v>
      </c>
      <c r="B299" t="s">
        <v>22</v>
      </c>
      <c r="C299" t="s">
        <v>23</v>
      </c>
      <c r="D299" t="s">
        <v>18</v>
      </c>
      <c r="E299" s="1">
        <v>44285</v>
      </c>
      <c r="F299" t="s">
        <v>19</v>
      </c>
      <c r="G299" t="str">
        <f ca="1">VLOOKUP(RAND(),{0,"Lucas";0.39,"Roberto";0.63,"Carla";0.78,"Pedro";0.93,"Emilly"},2,TRUE)</f>
        <v>Pedro</v>
      </c>
      <c r="H299">
        <v>1</v>
      </c>
      <c r="I299">
        <v>6500</v>
      </c>
      <c r="J299">
        <v>0.4</v>
      </c>
      <c r="K299">
        <f>PRODUCT(TabelaVendas1__2[[#This Row],[Valor_UnitarioXQtd]],TabelaVendas1__2[[#This Row],[Percentual_Lucro]])</f>
        <v>2600</v>
      </c>
      <c r="L299">
        <v>6500</v>
      </c>
      <c r="M299">
        <f>PRODUCT(TabelaVendas1__2[[#This Row],[Quantidade]],TabelaVendas1__2[[#This Row],[Valor_Unitario]])</f>
        <v>6500</v>
      </c>
      <c r="N299">
        <f>SUM(TabelaVendas1__2[[#This Row],[Valor_UnitarioXQtd]],TabelaVendas1__2[[#This Row],[Valor_Lucro]])</f>
        <v>9100</v>
      </c>
      <c r="O299" s="2" t="s">
        <v>20</v>
      </c>
    </row>
    <row r="300" spans="1:15">
      <c r="A300" t="s">
        <v>189</v>
      </c>
      <c r="B300" t="s">
        <v>22</v>
      </c>
      <c r="C300" t="s">
        <v>23</v>
      </c>
      <c r="D300" t="s">
        <v>24</v>
      </c>
      <c r="E300" s="1">
        <v>44314</v>
      </c>
      <c r="F300" t="s">
        <v>27</v>
      </c>
      <c r="G300" t="str">
        <f ca="1">VLOOKUP(RAND(),{0,"Lucas";0.39,"Roberto";0.63,"Carla";0.78,"Pedro";0.93,"Emilly"},2,TRUE)</f>
        <v>Pedro</v>
      </c>
      <c r="H300">
        <v>1</v>
      </c>
      <c r="I300">
        <v>19000</v>
      </c>
      <c r="J300">
        <v>0.4</v>
      </c>
      <c r="K300">
        <f>PRODUCT(TabelaVendas1__2[[#This Row],[Valor_UnitarioXQtd]],TabelaVendas1__2[[#This Row],[Percentual_Lucro]])</f>
        <v>7600</v>
      </c>
      <c r="L300">
        <v>19000</v>
      </c>
      <c r="M300">
        <f>PRODUCT(TabelaVendas1__2[[#This Row],[Quantidade]],TabelaVendas1__2[[#This Row],[Valor_Unitario]])</f>
        <v>19000</v>
      </c>
      <c r="N300">
        <f>SUM(TabelaVendas1__2[[#This Row],[Valor_UnitarioXQtd]],TabelaVendas1__2[[#This Row],[Valor_Lucro]])</f>
        <v>26600</v>
      </c>
      <c r="O300" s="2" t="s">
        <v>25</v>
      </c>
    </row>
    <row r="301" spans="1:15">
      <c r="A301" t="s">
        <v>177</v>
      </c>
      <c r="B301" t="s">
        <v>22</v>
      </c>
      <c r="C301" t="s">
        <v>23</v>
      </c>
      <c r="D301" t="s">
        <v>75</v>
      </c>
      <c r="E301" s="1">
        <v>44341</v>
      </c>
      <c r="F301" t="s">
        <v>19</v>
      </c>
      <c r="G301" t="str">
        <f ca="1">VLOOKUP(RAND(),{0,"Lucas";0.39,"Roberto";0.63,"Carla";0.78,"Pedro";0.93,"Emilly"},2,TRUE)</f>
        <v>Roberto</v>
      </c>
      <c r="H301">
        <v>2</v>
      </c>
      <c r="I301">
        <v>1600</v>
      </c>
      <c r="J301">
        <v>0.4</v>
      </c>
      <c r="K301">
        <f>PRODUCT(TabelaVendas1__2[[#This Row],[Valor_UnitarioXQtd]],TabelaVendas1__2[[#This Row],[Percentual_Lucro]])</f>
        <v>1280</v>
      </c>
      <c r="L301">
        <v>3200</v>
      </c>
      <c r="M301">
        <f>PRODUCT(TabelaVendas1__2[[#This Row],[Quantidade]],TabelaVendas1__2[[#This Row],[Valor_Unitario]])</f>
        <v>3200</v>
      </c>
      <c r="N301">
        <f>SUM(TabelaVendas1__2[[#This Row],[Valor_UnitarioXQtd]],TabelaVendas1__2[[#This Row],[Valor_Lucro]])</f>
        <v>4480</v>
      </c>
      <c r="O301" s="2" t="s">
        <v>76</v>
      </c>
    </row>
    <row r="302" spans="1:15">
      <c r="A302" t="s">
        <v>91</v>
      </c>
      <c r="B302" t="s">
        <v>22</v>
      </c>
      <c r="C302" t="s">
        <v>23</v>
      </c>
      <c r="D302" t="s">
        <v>18</v>
      </c>
      <c r="E302" s="1">
        <v>44341</v>
      </c>
      <c r="F302" t="s">
        <v>30</v>
      </c>
      <c r="G302" t="str">
        <f ca="1">VLOOKUP(RAND(),{0,"Lucas";0.39,"Roberto";0.63,"Carla";0.78,"Pedro";0.93,"Emilly"},2,TRUE)</f>
        <v>Emilly</v>
      </c>
      <c r="H302">
        <v>1</v>
      </c>
      <c r="I302">
        <v>2300</v>
      </c>
      <c r="J302">
        <v>0.4</v>
      </c>
      <c r="K302">
        <f>PRODUCT(TabelaVendas1__2[[#This Row],[Valor_UnitarioXQtd]],TabelaVendas1__2[[#This Row],[Percentual_Lucro]])</f>
        <v>920</v>
      </c>
      <c r="L302">
        <v>2300</v>
      </c>
      <c r="M302">
        <f>PRODUCT(TabelaVendas1__2[[#This Row],[Quantidade]],TabelaVendas1__2[[#This Row],[Valor_Unitario]])</f>
        <v>2300</v>
      </c>
      <c r="N302">
        <f>SUM(TabelaVendas1__2[[#This Row],[Valor_UnitarioXQtd]],TabelaVendas1__2[[#This Row],[Valor_Lucro]])</f>
        <v>3220</v>
      </c>
      <c r="O302" s="2" t="s">
        <v>20</v>
      </c>
    </row>
    <row r="303" spans="1:15">
      <c r="A303" t="s">
        <v>190</v>
      </c>
      <c r="B303" t="s">
        <v>22</v>
      </c>
      <c r="C303" t="s">
        <v>23</v>
      </c>
      <c r="D303" t="s">
        <v>18</v>
      </c>
      <c r="E303" s="1">
        <v>44341</v>
      </c>
      <c r="F303" t="s">
        <v>19</v>
      </c>
      <c r="G303" t="str">
        <f ca="1">VLOOKUP(RAND(),{0,"Lucas";0.39,"Roberto";0.63,"Carla";0.78,"Pedro";0.93,"Emilly"},2,TRUE)</f>
        <v>Lucas</v>
      </c>
      <c r="H303">
        <v>1</v>
      </c>
      <c r="I303">
        <v>3800</v>
      </c>
      <c r="J303">
        <v>0.4</v>
      </c>
      <c r="K303">
        <f>PRODUCT(TabelaVendas1__2[[#This Row],[Valor_UnitarioXQtd]],TabelaVendas1__2[[#This Row],[Percentual_Lucro]])</f>
        <v>1520</v>
      </c>
      <c r="L303">
        <v>3800</v>
      </c>
      <c r="M303">
        <f>PRODUCT(TabelaVendas1__2[[#This Row],[Quantidade]],TabelaVendas1__2[[#This Row],[Valor_Unitario]])</f>
        <v>3800</v>
      </c>
      <c r="N303">
        <f>SUM(TabelaVendas1__2[[#This Row],[Valor_UnitarioXQtd]],TabelaVendas1__2[[#This Row],[Valor_Lucro]])</f>
        <v>5320</v>
      </c>
      <c r="O303" s="2" t="s">
        <v>20</v>
      </c>
    </row>
    <row r="304" spans="1:15">
      <c r="A304" t="s">
        <v>53</v>
      </c>
      <c r="B304" t="s">
        <v>22</v>
      </c>
      <c r="C304" t="s">
        <v>23</v>
      </c>
      <c r="D304" t="s">
        <v>54</v>
      </c>
      <c r="E304" s="1">
        <v>44341</v>
      </c>
      <c r="F304" t="s">
        <v>27</v>
      </c>
      <c r="G304" t="str">
        <f ca="1">VLOOKUP(RAND(),{0,"Lucas";0.39,"Roberto";0.63,"Carla";0.78,"Pedro";0.93,"Emilly"},2,TRUE)</f>
        <v>Roberto</v>
      </c>
      <c r="H304">
        <v>1</v>
      </c>
      <c r="I304">
        <v>7700</v>
      </c>
      <c r="J304">
        <v>0.4</v>
      </c>
      <c r="K304">
        <f>PRODUCT(TabelaVendas1__2[[#This Row],[Valor_UnitarioXQtd]],TabelaVendas1__2[[#This Row],[Percentual_Lucro]])</f>
        <v>3080</v>
      </c>
      <c r="L304">
        <v>7700</v>
      </c>
      <c r="M304">
        <f>PRODUCT(TabelaVendas1__2[[#This Row],[Quantidade]],TabelaVendas1__2[[#This Row],[Valor_Unitario]])</f>
        <v>7700</v>
      </c>
      <c r="N304">
        <f>SUM(TabelaVendas1__2[[#This Row],[Valor_UnitarioXQtd]],TabelaVendas1__2[[#This Row],[Valor_Lucro]])</f>
        <v>10780</v>
      </c>
      <c r="O304" s="2" t="s">
        <v>55</v>
      </c>
    </row>
    <row r="305" spans="1:15">
      <c r="A305" t="s">
        <v>191</v>
      </c>
      <c r="B305" t="s">
        <v>51</v>
      </c>
      <c r="C305" t="s">
        <v>17</v>
      </c>
      <c r="D305" t="s">
        <v>146</v>
      </c>
      <c r="E305" s="1">
        <v>44376</v>
      </c>
      <c r="F305" t="s">
        <v>19</v>
      </c>
      <c r="G305" t="str">
        <f ca="1">VLOOKUP(RAND(),{0,"Lucas";0.39,"Roberto";0.63,"Carla";0.78,"Pedro";0.93,"Emilly"},2,TRUE)</f>
        <v>Lucas</v>
      </c>
      <c r="H305">
        <v>1</v>
      </c>
      <c r="I305">
        <v>15500</v>
      </c>
      <c r="J305">
        <v>0.4</v>
      </c>
      <c r="K305">
        <f>PRODUCT(TabelaVendas1__2[[#This Row],[Valor_UnitarioXQtd]],TabelaVendas1__2[[#This Row],[Percentual_Lucro]])</f>
        <v>6200</v>
      </c>
      <c r="L305">
        <v>15500</v>
      </c>
      <c r="M305">
        <f>PRODUCT(TabelaVendas1__2[[#This Row],[Quantidade]],TabelaVendas1__2[[#This Row],[Valor_Unitario]])</f>
        <v>15500</v>
      </c>
      <c r="N305">
        <f>SUM(TabelaVendas1__2[[#This Row],[Valor_UnitarioXQtd]],TabelaVendas1__2[[#This Row],[Valor_Lucro]])</f>
        <v>21700</v>
      </c>
      <c r="O305" s="2" t="s">
        <v>147</v>
      </c>
    </row>
    <row r="306" spans="1:15">
      <c r="A306" t="s">
        <v>192</v>
      </c>
      <c r="B306" t="s">
        <v>16</v>
      </c>
      <c r="C306" t="s">
        <v>17</v>
      </c>
      <c r="D306" t="s">
        <v>42</v>
      </c>
      <c r="E306" s="1">
        <v>44384</v>
      </c>
      <c r="F306" t="s">
        <v>30</v>
      </c>
      <c r="G306" t="str">
        <f ca="1">VLOOKUP(RAND(),{0,"Lucas";0.39,"Roberto";0.63,"Carla";0.78,"Pedro";0.93,"Emilly"},2,TRUE)</f>
        <v>Lucas</v>
      </c>
      <c r="H306">
        <v>1</v>
      </c>
      <c r="I306">
        <v>5500</v>
      </c>
      <c r="J306">
        <v>0.4</v>
      </c>
      <c r="K306">
        <f>PRODUCT(TabelaVendas1__2[[#This Row],[Valor_UnitarioXQtd]],TabelaVendas1__2[[#This Row],[Percentual_Lucro]])</f>
        <v>2200</v>
      </c>
      <c r="L306">
        <v>5500</v>
      </c>
      <c r="M306">
        <f>PRODUCT(TabelaVendas1__2[[#This Row],[Quantidade]],TabelaVendas1__2[[#This Row],[Valor_Unitario]])</f>
        <v>5500</v>
      </c>
      <c r="N306">
        <f>SUM(TabelaVendas1__2[[#This Row],[Valor_UnitarioXQtd]],TabelaVendas1__2[[#This Row],[Valor_Lucro]])</f>
        <v>7700</v>
      </c>
      <c r="O306" s="2" t="s">
        <v>43</v>
      </c>
    </row>
    <row r="307" spans="1:15">
      <c r="A307" t="s">
        <v>105</v>
      </c>
      <c r="B307" t="s">
        <v>22</v>
      </c>
      <c r="C307" t="s">
        <v>23</v>
      </c>
      <c r="D307" t="s">
        <v>18</v>
      </c>
      <c r="E307" s="1">
        <v>44384</v>
      </c>
      <c r="F307" t="s">
        <v>19</v>
      </c>
      <c r="G307" t="str">
        <f ca="1">VLOOKUP(RAND(),{0,"Lucas";0.39,"Roberto";0.63,"Carla";0.78,"Pedro";0.93,"Emilly"},2,TRUE)</f>
        <v>Lucas</v>
      </c>
      <c r="H307">
        <v>1</v>
      </c>
      <c r="I307">
        <v>4000</v>
      </c>
      <c r="J307">
        <v>0.4</v>
      </c>
      <c r="K307">
        <f>PRODUCT(TabelaVendas1__2[[#This Row],[Valor_UnitarioXQtd]],TabelaVendas1__2[[#This Row],[Percentual_Lucro]])</f>
        <v>1600</v>
      </c>
      <c r="L307">
        <v>4000</v>
      </c>
      <c r="M307">
        <f>PRODUCT(TabelaVendas1__2[[#This Row],[Quantidade]],TabelaVendas1__2[[#This Row],[Valor_Unitario]])</f>
        <v>4000</v>
      </c>
      <c r="N307">
        <f>SUM(TabelaVendas1__2[[#This Row],[Valor_UnitarioXQtd]],TabelaVendas1__2[[#This Row],[Valor_Lucro]])</f>
        <v>5600</v>
      </c>
      <c r="O307" s="2" t="s">
        <v>20</v>
      </c>
    </row>
    <row r="308" spans="1:15">
      <c r="A308" t="s">
        <v>193</v>
      </c>
      <c r="B308" t="s">
        <v>16</v>
      </c>
      <c r="C308" t="s">
        <v>17</v>
      </c>
      <c r="D308" t="s">
        <v>18</v>
      </c>
      <c r="E308" s="1">
        <v>44384</v>
      </c>
      <c r="F308" t="s">
        <v>19</v>
      </c>
      <c r="G308" t="str">
        <f ca="1">VLOOKUP(RAND(),{0,"Lucas";0.39,"Roberto";0.63,"Carla";0.78,"Pedro";0.93,"Emilly"},2,TRUE)</f>
        <v>Lucas</v>
      </c>
      <c r="H308">
        <v>1</v>
      </c>
      <c r="I308">
        <v>1200</v>
      </c>
      <c r="J308">
        <v>0.4</v>
      </c>
      <c r="K308">
        <f>PRODUCT(TabelaVendas1__2[[#This Row],[Valor_UnitarioXQtd]],TabelaVendas1__2[[#This Row],[Percentual_Lucro]])</f>
        <v>480</v>
      </c>
      <c r="L308">
        <v>1200</v>
      </c>
      <c r="M308">
        <f>PRODUCT(TabelaVendas1__2[[#This Row],[Quantidade]],TabelaVendas1__2[[#This Row],[Valor_Unitario]])</f>
        <v>1200</v>
      </c>
      <c r="N308">
        <f>SUM(TabelaVendas1__2[[#This Row],[Valor_UnitarioXQtd]],TabelaVendas1__2[[#This Row],[Valor_Lucro]])</f>
        <v>1680</v>
      </c>
      <c r="O308" s="2" t="s">
        <v>20</v>
      </c>
    </row>
    <row r="309" spans="1:15">
      <c r="A309" t="s">
        <v>194</v>
      </c>
      <c r="B309" t="s">
        <v>51</v>
      </c>
      <c r="C309" t="s">
        <v>17</v>
      </c>
      <c r="D309" t="s">
        <v>29</v>
      </c>
      <c r="E309" s="1">
        <v>44384</v>
      </c>
      <c r="F309" t="s">
        <v>30</v>
      </c>
      <c r="G309" t="str">
        <f ca="1">VLOOKUP(RAND(),{0,"Lucas";0.39,"Roberto";0.63,"Carla";0.78,"Pedro";0.93,"Emilly"},2,TRUE)</f>
        <v>Pedro</v>
      </c>
      <c r="H309">
        <v>1</v>
      </c>
      <c r="I309">
        <v>1300</v>
      </c>
      <c r="J309">
        <v>0.4</v>
      </c>
      <c r="K309">
        <f>PRODUCT(TabelaVendas1__2[[#This Row],[Valor_UnitarioXQtd]],TabelaVendas1__2[[#This Row],[Percentual_Lucro]])</f>
        <v>520</v>
      </c>
      <c r="L309">
        <v>1300</v>
      </c>
      <c r="M309">
        <f>PRODUCT(TabelaVendas1__2[[#This Row],[Quantidade]],TabelaVendas1__2[[#This Row],[Valor_Unitario]])</f>
        <v>1300</v>
      </c>
      <c r="N309">
        <f>SUM(TabelaVendas1__2[[#This Row],[Valor_UnitarioXQtd]],TabelaVendas1__2[[#This Row],[Valor_Lucro]])</f>
        <v>1820</v>
      </c>
      <c r="O309" s="2" t="s">
        <v>31</v>
      </c>
    </row>
    <row r="310" spans="1:15">
      <c r="A310" t="s">
        <v>195</v>
      </c>
      <c r="B310" t="s">
        <v>22</v>
      </c>
      <c r="C310" t="s">
        <v>23</v>
      </c>
      <c r="D310" t="s">
        <v>34</v>
      </c>
      <c r="E310" s="1">
        <v>44384</v>
      </c>
      <c r="F310" t="s">
        <v>19</v>
      </c>
      <c r="G310" t="str">
        <f ca="1">VLOOKUP(RAND(),{0,"Lucas";0.39,"Roberto";0.63,"Carla";0.78,"Pedro";0.93,"Emilly"},2,TRUE)</f>
        <v>Carla</v>
      </c>
      <c r="H310">
        <v>1</v>
      </c>
      <c r="I310">
        <v>1350</v>
      </c>
      <c r="J310">
        <v>0.4</v>
      </c>
      <c r="K310">
        <f>PRODUCT(TabelaVendas1__2[[#This Row],[Valor_UnitarioXQtd]],TabelaVendas1__2[[#This Row],[Percentual_Lucro]])</f>
        <v>540</v>
      </c>
      <c r="L310">
        <v>1350</v>
      </c>
      <c r="M310">
        <f>PRODUCT(TabelaVendas1__2[[#This Row],[Quantidade]],TabelaVendas1__2[[#This Row],[Valor_Unitario]])</f>
        <v>1350</v>
      </c>
      <c r="N310">
        <f>SUM(TabelaVendas1__2[[#This Row],[Valor_UnitarioXQtd]],TabelaVendas1__2[[#This Row],[Valor_Lucro]])</f>
        <v>1890</v>
      </c>
      <c r="O310" s="2" t="s">
        <v>35</v>
      </c>
    </row>
    <row r="311" spans="1:15">
      <c r="A311" t="s">
        <v>177</v>
      </c>
      <c r="B311" t="s">
        <v>22</v>
      </c>
      <c r="C311" t="s">
        <v>23</v>
      </c>
      <c r="D311" t="s">
        <v>75</v>
      </c>
      <c r="E311" s="1">
        <v>44643</v>
      </c>
      <c r="F311" t="s">
        <v>30</v>
      </c>
      <c r="G311" t="str">
        <f ca="1">VLOOKUP(RAND(),{0,"Lucas";0.39,"Roberto";0.63,"Carla";0.78,"Pedro";0.93,"Emilly"},2,TRUE)</f>
        <v>Lucas</v>
      </c>
      <c r="H311">
        <v>1</v>
      </c>
      <c r="I311">
        <v>3800</v>
      </c>
      <c r="J311">
        <v>0.4</v>
      </c>
      <c r="K311">
        <f>PRODUCT(TabelaVendas1__2[[#This Row],[Valor_UnitarioXQtd]],TabelaVendas1__2[[#This Row],[Percentual_Lucro]])</f>
        <v>1520</v>
      </c>
      <c r="L311">
        <v>3800</v>
      </c>
      <c r="M311">
        <f>PRODUCT(TabelaVendas1__2[[#This Row],[Quantidade]],TabelaVendas1__2[[#This Row],[Valor_Unitario]])</f>
        <v>3800</v>
      </c>
      <c r="N311">
        <f>SUM(TabelaVendas1__2[[#This Row],[Valor_UnitarioXQtd]],TabelaVendas1__2[[#This Row],[Valor_Lucro]])</f>
        <v>5320</v>
      </c>
      <c r="O311" s="2" t="s">
        <v>76</v>
      </c>
    </row>
    <row r="312" spans="1:15">
      <c r="A312" t="s">
        <v>139</v>
      </c>
      <c r="B312" t="s">
        <v>22</v>
      </c>
      <c r="C312" t="s">
        <v>23</v>
      </c>
      <c r="D312" t="s">
        <v>18</v>
      </c>
      <c r="E312" s="1">
        <v>44643</v>
      </c>
      <c r="F312" t="s">
        <v>27</v>
      </c>
      <c r="G312" t="str">
        <f ca="1">VLOOKUP(RAND(),{0,"Lucas";0.39,"Roberto";0.63,"Carla";0.78,"Pedro";0.93,"Emilly"},2,TRUE)</f>
        <v>Lucas</v>
      </c>
      <c r="H312">
        <v>1</v>
      </c>
      <c r="I312">
        <v>800</v>
      </c>
      <c r="J312">
        <v>0.4</v>
      </c>
      <c r="K312">
        <f>PRODUCT(TabelaVendas1__2[[#This Row],[Valor_UnitarioXQtd]],TabelaVendas1__2[[#This Row],[Percentual_Lucro]])</f>
        <v>320</v>
      </c>
      <c r="L312">
        <v>800</v>
      </c>
      <c r="M312">
        <f>PRODUCT(TabelaVendas1__2[[#This Row],[Quantidade]],TabelaVendas1__2[[#This Row],[Valor_Unitario]])</f>
        <v>800</v>
      </c>
      <c r="N312">
        <f>SUM(TabelaVendas1__2[[#This Row],[Valor_UnitarioXQtd]],TabelaVendas1__2[[#This Row],[Valor_Lucro]])</f>
        <v>1120</v>
      </c>
      <c r="O312" s="2" t="s">
        <v>20</v>
      </c>
    </row>
    <row r="313" spans="1:15">
      <c r="A313" t="s">
        <v>116</v>
      </c>
      <c r="B313" t="s">
        <v>16</v>
      </c>
      <c r="C313" t="s">
        <v>17</v>
      </c>
      <c r="D313" t="s">
        <v>34</v>
      </c>
      <c r="E313" s="1">
        <v>44645</v>
      </c>
      <c r="F313" t="s">
        <v>19</v>
      </c>
      <c r="G313" t="str">
        <f ca="1">VLOOKUP(RAND(),{0,"Lucas";0.39,"Roberto";0.63,"Carla";0.78,"Pedro";0.93,"Emilly"},2,TRUE)</f>
        <v>Lucas</v>
      </c>
      <c r="H313">
        <v>1</v>
      </c>
      <c r="I313">
        <v>2100</v>
      </c>
      <c r="J313">
        <v>0.4</v>
      </c>
      <c r="K313">
        <f>PRODUCT(TabelaVendas1__2[[#This Row],[Valor_UnitarioXQtd]],TabelaVendas1__2[[#This Row],[Percentual_Lucro]])</f>
        <v>840</v>
      </c>
      <c r="L313">
        <v>2100</v>
      </c>
      <c r="M313">
        <f>PRODUCT(TabelaVendas1__2[[#This Row],[Quantidade]],TabelaVendas1__2[[#This Row],[Valor_Unitario]])</f>
        <v>2100</v>
      </c>
      <c r="N313">
        <f>SUM(TabelaVendas1__2[[#This Row],[Valor_UnitarioXQtd]],TabelaVendas1__2[[#This Row],[Valor_Lucro]])</f>
        <v>2940</v>
      </c>
      <c r="O313" s="2" t="s">
        <v>35</v>
      </c>
    </row>
    <row r="314" spans="1:15">
      <c r="A314" t="s">
        <v>196</v>
      </c>
      <c r="B314" t="s">
        <v>22</v>
      </c>
      <c r="C314" t="s">
        <v>23</v>
      </c>
      <c r="D314" t="s">
        <v>42</v>
      </c>
      <c r="E314" s="1">
        <v>44649</v>
      </c>
      <c r="F314" t="s">
        <v>19</v>
      </c>
      <c r="G314" t="str">
        <f ca="1">VLOOKUP(RAND(),{0,"Lucas";0.39,"Roberto";0.63,"Carla";0.78,"Pedro";0.93,"Emilly"},2,TRUE)</f>
        <v>Lucas</v>
      </c>
      <c r="H314">
        <v>1</v>
      </c>
      <c r="I314">
        <v>680</v>
      </c>
      <c r="J314">
        <v>0.4</v>
      </c>
      <c r="K314">
        <f>PRODUCT(TabelaVendas1__2[[#This Row],[Valor_UnitarioXQtd]],TabelaVendas1__2[[#This Row],[Percentual_Lucro]])</f>
        <v>272</v>
      </c>
      <c r="L314">
        <v>680</v>
      </c>
      <c r="M314">
        <f>PRODUCT(TabelaVendas1__2[[#This Row],[Quantidade]],TabelaVendas1__2[[#This Row],[Valor_Unitario]])</f>
        <v>680</v>
      </c>
      <c r="N314">
        <f>SUM(TabelaVendas1__2[[#This Row],[Valor_UnitarioXQtd]],TabelaVendas1__2[[#This Row],[Valor_Lucro]])</f>
        <v>952</v>
      </c>
      <c r="O314" s="2" t="s">
        <v>43</v>
      </c>
    </row>
    <row r="315" spans="1:15">
      <c r="A315" t="s">
        <v>197</v>
      </c>
      <c r="B315" t="s">
        <v>22</v>
      </c>
      <c r="C315" t="s">
        <v>23</v>
      </c>
      <c r="D315" t="s">
        <v>42</v>
      </c>
      <c r="E315" s="1">
        <v>44649</v>
      </c>
      <c r="F315" t="s">
        <v>19</v>
      </c>
      <c r="G315" t="str">
        <f ca="1">VLOOKUP(RAND(),{0,"Lucas";0.39,"Roberto";0.63,"Carla";0.78,"Pedro";0.93,"Emilly"},2,TRUE)</f>
        <v>Lucas</v>
      </c>
      <c r="H315">
        <v>1</v>
      </c>
      <c r="I315">
        <v>380</v>
      </c>
      <c r="J315">
        <v>0.4</v>
      </c>
      <c r="K315">
        <f>PRODUCT(TabelaVendas1__2[[#This Row],[Valor_UnitarioXQtd]],TabelaVendas1__2[[#This Row],[Percentual_Lucro]])</f>
        <v>152</v>
      </c>
      <c r="L315">
        <v>380</v>
      </c>
      <c r="M315">
        <f>PRODUCT(TabelaVendas1__2[[#This Row],[Quantidade]],TabelaVendas1__2[[#This Row],[Valor_Unitario]])</f>
        <v>380</v>
      </c>
      <c r="N315">
        <f>SUM(TabelaVendas1__2[[#This Row],[Valor_UnitarioXQtd]],TabelaVendas1__2[[#This Row],[Valor_Lucro]])</f>
        <v>532</v>
      </c>
      <c r="O315" s="2" t="s">
        <v>43</v>
      </c>
    </row>
    <row r="316" spans="1:15">
      <c r="A316" t="s">
        <v>198</v>
      </c>
      <c r="B316" t="s">
        <v>22</v>
      </c>
      <c r="C316" t="s">
        <v>23</v>
      </c>
      <c r="D316" t="s">
        <v>121</v>
      </c>
      <c r="E316" s="1">
        <v>44649</v>
      </c>
      <c r="F316" t="s">
        <v>27</v>
      </c>
      <c r="G316" t="str">
        <f ca="1">VLOOKUP(RAND(),{0,"Lucas";0.39,"Roberto";0.63,"Carla";0.78,"Pedro";0.93,"Emilly"},2,TRUE)</f>
        <v>Carla</v>
      </c>
      <c r="H316">
        <v>1</v>
      </c>
      <c r="I316">
        <v>230</v>
      </c>
      <c r="J316">
        <v>0.4</v>
      </c>
      <c r="K316">
        <f>PRODUCT(TabelaVendas1__2[[#This Row],[Valor_UnitarioXQtd]],TabelaVendas1__2[[#This Row],[Percentual_Lucro]])</f>
        <v>92</v>
      </c>
      <c r="L316">
        <v>230</v>
      </c>
      <c r="M316">
        <f>PRODUCT(TabelaVendas1__2[[#This Row],[Quantidade]],TabelaVendas1__2[[#This Row],[Valor_Unitario]])</f>
        <v>230</v>
      </c>
      <c r="N316">
        <f>SUM(TabelaVendas1__2[[#This Row],[Valor_UnitarioXQtd]],TabelaVendas1__2[[#This Row],[Valor_Lucro]])</f>
        <v>322</v>
      </c>
      <c r="O316" s="2" t="s">
        <v>122</v>
      </c>
    </row>
    <row r="317" spans="1:15">
      <c r="A317" t="s">
        <v>199</v>
      </c>
      <c r="B317" t="s">
        <v>22</v>
      </c>
      <c r="C317" t="s">
        <v>23</v>
      </c>
      <c r="D317" t="s">
        <v>126</v>
      </c>
      <c r="E317" s="1">
        <v>44649</v>
      </c>
      <c r="F317" t="s">
        <v>27</v>
      </c>
      <c r="G317" t="str">
        <f ca="1">VLOOKUP(RAND(),{0,"Lucas";0.39,"Roberto";0.63,"Carla";0.78,"Pedro";0.93,"Emilly"},2,TRUE)</f>
        <v>Carla</v>
      </c>
      <c r="H317">
        <v>1</v>
      </c>
      <c r="I317">
        <v>620</v>
      </c>
      <c r="J317">
        <v>0.4</v>
      </c>
      <c r="K317">
        <f>PRODUCT(TabelaVendas1__2[[#This Row],[Valor_UnitarioXQtd]],TabelaVendas1__2[[#This Row],[Percentual_Lucro]])</f>
        <v>248</v>
      </c>
      <c r="L317">
        <v>620</v>
      </c>
      <c r="M317">
        <f>PRODUCT(TabelaVendas1__2[[#This Row],[Quantidade]],TabelaVendas1__2[[#This Row],[Valor_Unitario]])</f>
        <v>620</v>
      </c>
      <c r="N317">
        <f>SUM(TabelaVendas1__2[[#This Row],[Valor_UnitarioXQtd]],TabelaVendas1__2[[#This Row],[Valor_Lucro]])</f>
        <v>868</v>
      </c>
      <c r="O317" s="2" t="s">
        <v>127</v>
      </c>
    </row>
    <row r="318" spans="1:15">
      <c r="A318" t="s">
        <v>200</v>
      </c>
      <c r="B318" t="s">
        <v>22</v>
      </c>
      <c r="C318" t="s">
        <v>23</v>
      </c>
      <c r="D318" t="s">
        <v>29</v>
      </c>
      <c r="E318" s="1">
        <v>44649</v>
      </c>
      <c r="F318" t="s">
        <v>19</v>
      </c>
      <c r="G318" t="str">
        <f ca="1">VLOOKUP(RAND(),{0,"Lucas";0.39,"Roberto";0.63,"Carla";0.78,"Pedro";0.93,"Emilly"},2,TRUE)</f>
        <v>Lucas</v>
      </c>
      <c r="H318">
        <v>1</v>
      </c>
      <c r="I318">
        <v>215</v>
      </c>
      <c r="J318">
        <v>0.4</v>
      </c>
      <c r="K318">
        <f>PRODUCT(TabelaVendas1__2[[#This Row],[Valor_UnitarioXQtd]],TabelaVendas1__2[[#This Row],[Percentual_Lucro]])</f>
        <v>86</v>
      </c>
      <c r="L318">
        <v>215</v>
      </c>
      <c r="M318">
        <f>PRODUCT(TabelaVendas1__2[[#This Row],[Quantidade]],TabelaVendas1__2[[#This Row],[Valor_Unitario]])</f>
        <v>215</v>
      </c>
      <c r="N318">
        <f>SUM(TabelaVendas1__2[[#This Row],[Valor_UnitarioXQtd]],TabelaVendas1__2[[#This Row],[Valor_Lucro]])</f>
        <v>301</v>
      </c>
      <c r="O318" s="2" t="s">
        <v>31</v>
      </c>
    </row>
    <row r="319" spans="1:15">
      <c r="A319" t="s">
        <v>201</v>
      </c>
      <c r="B319" t="s">
        <v>22</v>
      </c>
      <c r="C319" t="s">
        <v>23</v>
      </c>
      <c r="D319" t="s">
        <v>34</v>
      </c>
      <c r="E319" s="1">
        <v>44649</v>
      </c>
      <c r="F319" t="s">
        <v>30</v>
      </c>
      <c r="G319" t="str">
        <f ca="1">VLOOKUP(RAND(),{0,"Lucas";0.39,"Roberto";0.63,"Carla";0.78,"Pedro";0.93,"Emilly"},2,TRUE)</f>
        <v>Roberto</v>
      </c>
      <c r="H319">
        <v>1</v>
      </c>
      <c r="I319">
        <v>460</v>
      </c>
      <c r="J319">
        <v>0.4</v>
      </c>
      <c r="K319">
        <f>PRODUCT(TabelaVendas1__2[[#This Row],[Valor_UnitarioXQtd]],TabelaVendas1__2[[#This Row],[Percentual_Lucro]])</f>
        <v>184</v>
      </c>
      <c r="L319">
        <v>460</v>
      </c>
      <c r="M319">
        <f>PRODUCT(TabelaVendas1__2[[#This Row],[Quantidade]],TabelaVendas1__2[[#This Row],[Valor_Unitario]])</f>
        <v>460</v>
      </c>
      <c r="N319">
        <f>SUM(TabelaVendas1__2[[#This Row],[Valor_UnitarioXQtd]],TabelaVendas1__2[[#This Row],[Valor_Lucro]])</f>
        <v>644</v>
      </c>
      <c r="O319" s="2" t="s">
        <v>35</v>
      </c>
    </row>
    <row r="320" spans="1:15">
      <c r="A320" t="s">
        <v>202</v>
      </c>
      <c r="B320" t="s">
        <v>22</v>
      </c>
      <c r="C320" t="s">
        <v>23</v>
      </c>
      <c r="D320" t="s">
        <v>34</v>
      </c>
      <c r="E320" s="1">
        <v>44649</v>
      </c>
      <c r="F320" t="s">
        <v>27</v>
      </c>
      <c r="G320" t="str">
        <f ca="1">VLOOKUP(RAND(),{0,"Lucas";0.39,"Roberto";0.63,"Carla";0.78,"Pedro";0.93,"Emilly"},2,TRUE)</f>
        <v>Lucas</v>
      </c>
      <c r="H320">
        <v>1</v>
      </c>
      <c r="I320">
        <v>275</v>
      </c>
      <c r="J320">
        <v>0.4</v>
      </c>
      <c r="K320">
        <f>PRODUCT(TabelaVendas1__2[[#This Row],[Valor_UnitarioXQtd]],TabelaVendas1__2[[#This Row],[Percentual_Lucro]])</f>
        <v>110</v>
      </c>
      <c r="L320">
        <v>275</v>
      </c>
      <c r="M320">
        <f>PRODUCT(TabelaVendas1__2[[#This Row],[Quantidade]],TabelaVendas1__2[[#This Row],[Valor_Unitario]])</f>
        <v>275</v>
      </c>
      <c r="N320">
        <f>SUM(TabelaVendas1__2[[#This Row],[Valor_UnitarioXQtd]],TabelaVendas1__2[[#This Row],[Valor_Lucro]])</f>
        <v>385</v>
      </c>
      <c r="O320" s="2" t="s">
        <v>35</v>
      </c>
    </row>
    <row r="321" spans="1:15">
      <c r="A321" t="s">
        <v>113</v>
      </c>
      <c r="B321" t="s">
        <v>22</v>
      </c>
      <c r="C321" t="s">
        <v>23</v>
      </c>
      <c r="D321" t="s">
        <v>18</v>
      </c>
      <c r="E321" s="1">
        <v>44651</v>
      </c>
      <c r="F321" t="s">
        <v>27</v>
      </c>
      <c r="G321" t="str">
        <f ca="1">VLOOKUP(RAND(),{0,"Lucas";0.39,"Roberto";0.63,"Carla";0.78,"Pedro";0.93,"Emilly"},2,TRUE)</f>
        <v>Roberto</v>
      </c>
      <c r="H321">
        <v>1</v>
      </c>
      <c r="I321">
        <v>730</v>
      </c>
      <c r="J321">
        <v>0.4</v>
      </c>
      <c r="K321">
        <f>PRODUCT(TabelaVendas1__2[[#This Row],[Valor_UnitarioXQtd]],TabelaVendas1__2[[#This Row],[Percentual_Lucro]])</f>
        <v>292</v>
      </c>
      <c r="L321">
        <v>730</v>
      </c>
      <c r="M321">
        <f>PRODUCT(TabelaVendas1__2[[#This Row],[Quantidade]],TabelaVendas1__2[[#This Row],[Valor_Unitario]])</f>
        <v>730</v>
      </c>
      <c r="N321">
        <f>SUM(TabelaVendas1__2[[#This Row],[Valor_UnitarioXQtd]],TabelaVendas1__2[[#This Row],[Valor_Lucro]])</f>
        <v>1022</v>
      </c>
      <c r="O321" s="2" t="s">
        <v>20</v>
      </c>
    </row>
    <row r="322" spans="1:15">
      <c r="A322" t="s">
        <v>203</v>
      </c>
      <c r="B322" t="s">
        <v>22</v>
      </c>
      <c r="C322" t="s">
        <v>23</v>
      </c>
      <c r="D322" t="s">
        <v>18</v>
      </c>
      <c r="E322" s="1">
        <v>44657</v>
      </c>
      <c r="F322" t="s">
        <v>30</v>
      </c>
      <c r="G322" t="str">
        <f ca="1">VLOOKUP(RAND(),{0,"Lucas";0.39,"Roberto";0.63,"Carla";0.78,"Pedro";0.93,"Emilly"},2,TRUE)</f>
        <v>Pedro</v>
      </c>
      <c r="H322">
        <v>1</v>
      </c>
      <c r="I322">
        <v>900</v>
      </c>
      <c r="J322">
        <v>0.4</v>
      </c>
      <c r="K322">
        <f>PRODUCT(TabelaVendas1__2[[#This Row],[Valor_UnitarioXQtd]],TabelaVendas1__2[[#This Row],[Percentual_Lucro]])</f>
        <v>360</v>
      </c>
      <c r="L322">
        <v>900</v>
      </c>
      <c r="M322">
        <f>PRODUCT(TabelaVendas1__2[[#This Row],[Quantidade]],TabelaVendas1__2[[#This Row],[Valor_Unitario]])</f>
        <v>900</v>
      </c>
      <c r="N322">
        <f>SUM(TabelaVendas1__2[[#This Row],[Valor_UnitarioXQtd]],TabelaVendas1__2[[#This Row],[Valor_Lucro]])</f>
        <v>1260</v>
      </c>
      <c r="O322" s="2" t="s">
        <v>20</v>
      </c>
    </row>
    <row r="323" spans="1:15">
      <c r="A323" t="s">
        <v>204</v>
      </c>
      <c r="B323" t="s">
        <v>22</v>
      </c>
      <c r="C323" t="s">
        <v>23</v>
      </c>
      <c r="D323" t="s">
        <v>18</v>
      </c>
      <c r="E323" s="1">
        <v>44679</v>
      </c>
      <c r="F323" t="s">
        <v>27</v>
      </c>
      <c r="G323" t="str">
        <f ca="1">VLOOKUP(RAND(),{0,"Lucas";0.39,"Roberto";0.63,"Carla";0.78,"Pedro";0.93,"Emilly"},2,TRUE)</f>
        <v>Pedro</v>
      </c>
      <c r="H323">
        <v>1</v>
      </c>
      <c r="I323">
        <v>14200</v>
      </c>
      <c r="J323">
        <v>0.4</v>
      </c>
      <c r="K323">
        <f>PRODUCT(TabelaVendas1__2[[#This Row],[Valor_UnitarioXQtd]],TabelaVendas1__2[[#This Row],[Percentual_Lucro]])</f>
        <v>5680</v>
      </c>
      <c r="L323">
        <v>14200</v>
      </c>
      <c r="M323">
        <f>PRODUCT(TabelaVendas1__2[[#This Row],[Quantidade]],TabelaVendas1__2[[#This Row],[Valor_Unitario]])</f>
        <v>14200</v>
      </c>
      <c r="N323">
        <f>SUM(TabelaVendas1__2[[#This Row],[Valor_UnitarioXQtd]],TabelaVendas1__2[[#This Row],[Valor_Lucro]])</f>
        <v>19880</v>
      </c>
      <c r="O323" s="2" t="s">
        <v>20</v>
      </c>
    </row>
    <row r="324" spans="1:15">
      <c r="A324" t="s">
        <v>66</v>
      </c>
      <c r="B324" t="s">
        <v>22</v>
      </c>
      <c r="C324" t="s">
        <v>23</v>
      </c>
      <c r="D324" t="s">
        <v>24</v>
      </c>
      <c r="E324" s="1">
        <v>44711</v>
      </c>
      <c r="F324" t="s">
        <v>30</v>
      </c>
      <c r="G324" t="str">
        <f ca="1">VLOOKUP(RAND(),{0,"Lucas";0.39,"Roberto";0.63,"Carla";0.78,"Pedro";0.93,"Emilly"},2,TRUE)</f>
        <v>Lucas</v>
      </c>
      <c r="H324">
        <v>1</v>
      </c>
      <c r="I324">
        <v>8000</v>
      </c>
      <c r="J324">
        <v>0.4</v>
      </c>
      <c r="K324">
        <f>PRODUCT(TabelaVendas1__2[[#This Row],[Valor_UnitarioXQtd]],TabelaVendas1__2[[#This Row],[Percentual_Lucro]])</f>
        <v>3200</v>
      </c>
      <c r="L324">
        <v>8000</v>
      </c>
      <c r="M324">
        <f>PRODUCT(TabelaVendas1__2[[#This Row],[Quantidade]],TabelaVendas1__2[[#This Row],[Valor_Unitario]])</f>
        <v>8000</v>
      </c>
      <c r="N324">
        <f>SUM(TabelaVendas1__2[[#This Row],[Valor_UnitarioXQtd]],TabelaVendas1__2[[#This Row],[Valor_Lucro]])</f>
        <v>11200</v>
      </c>
      <c r="O324" s="2" t="s">
        <v>25</v>
      </c>
    </row>
    <row r="325" spans="1:15">
      <c r="A325" t="s">
        <v>91</v>
      </c>
      <c r="B325" t="s">
        <v>22</v>
      </c>
      <c r="C325" t="s">
        <v>23</v>
      </c>
      <c r="D325" t="s">
        <v>18</v>
      </c>
      <c r="E325" s="1">
        <v>44711</v>
      </c>
      <c r="F325" t="s">
        <v>27</v>
      </c>
      <c r="G325" t="str">
        <f ca="1">VLOOKUP(RAND(),{0,"Lucas";0.39,"Roberto";0.63,"Carla";0.78,"Pedro";0.93,"Emilly"},2,TRUE)</f>
        <v>Carla</v>
      </c>
      <c r="H325">
        <v>1</v>
      </c>
      <c r="I325">
        <v>4800</v>
      </c>
      <c r="J325">
        <v>0.4</v>
      </c>
      <c r="K325">
        <f>PRODUCT(TabelaVendas1__2[[#This Row],[Valor_UnitarioXQtd]],TabelaVendas1__2[[#This Row],[Percentual_Lucro]])</f>
        <v>1920</v>
      </c>
      <c r="L325">
        <v>4800</v>
      </c>
      <c r="M325">
        <f>PRODUCT(TabelaVendas1__2[[#This Row],[Quantidade]],TabelaVendas1__2[[#This Row],[Valor_Unitario]])</f>
        <v>4800</v>
      </c>
      <c r="N325">
        <f>SUM(TabelaVendas1__2[[#This Row],[Valor_UnitarioXQtd]],TabelaVendas1__2[[#This Row],[Valor_Lucro]])</f>
        <v>6720</v>
      </c>
      <c r="O325" s="2" t="s">
        <v>20</v>
      </c>
    </row>
    <row r="326" spans="1:15">
      <c r="A326" t="s">
        <v>144</v>
      </c>
      <c r="B326" t="s">
        <v>22</v>
      </c>
      <c r="C326" t="s">
        <v>23</v>
      </c>
      <c r="D326" t="s">
        <v>126</v>
      </c>
      <c r="E326" s="1">
        <v>44711</v>
      </c>
      <c r="F326" t="s">
        <v>19</v>
      </c>
      <c r="G326" t="str">
        <f ca="1">VLOOKUP(RAND(),{0,"Lucas";0.39,"Roberto";0.63,"Carla";0.78,"Pedro";0.93,"Emilly"},2,TRUE)</f>
        <v>Emilly</v>
      </c>
      <c r="H326">
        <v>1</v>
      </c>
      <c r="I326">
        <v>3800</v>
      </c>
      <c r="J326">
        <v>0.4</v>
      </c>
      <c r="K326">
        <f>PRODUCT(TabelaVendas1__2[[#This Row],[Valor_UnitarioXQtd]],TabelaVendas1__2[[#This Row],[Percentual_Lucro]])</f>
        <v>1520</v>
      </c>
      <c r="L326">
        <v>3800</v>
      </c>
      <c r="M326">
        <f>PRODUCT(TabelaVendas1__2[[#This Row],[Quantidade]],TabelaVendas1__2[[#This Row],[Valor_Unitario]])</f>
        <v>3800</v>
      </c>
      <c r="N326">
        <f>SUM(TabelaVendas1__2[[#This Row],[Valor_UnitarioXQtd]],TabelaVendas1__2[[#This Row],[Valor_Lucro]])</f>
        <v>5320</v>
      </c>
      <c r="O326" s="2" t="s">
        <v>127</v>
      </c>
    </row>
    <row r="327" spans="1:15">
      <c r="A327" t="s">
        <v>177</v>
      </c>
      <c r="B327" t="s">
        <v>22</v>
      </c>
      <c r="C327" t="s">
        <v>23</v>
      </c>
      <c r="D327" t="s">
        <v>75</v>
      </c>
      <c r="E327" s="1">
        <v>44740</v>
      </c>
      <c r="F327" t="s">
        <v>27</v>
      </c>
      <c r="G327" t="str">
        <f ca="1">VLOOKUP(RAND(),{0,"Lucas";0.39,"Roberto";0.63,"Carla";0.78,"Pedro";0.93,"Emilly"},2,TRUE)</f>
        <v>Lucas</v>
      </c>
      <c r="H327">
        <v>2</v>
      </c>
      <c r="I327">
        <v>3800</v>
      </c>
      <c r="J327">
        <v>0.4</v>
      </c>
      <c r="K327">
        <f>PRODUCT(TabelaVendas1__2[[#This Row],[Valor_UnitarioXQtd]],TabelaVendas1__2[[#This Row],[Percentual_Lucro]])</f>
        <v>3040</v>
      </c>
      <c r="L327">
        <v>7600</v>
      </c>
      <c r="M327">
        <f>PRODUCT(TabelaVendas1__2[[#This Row],[Quantidade]],TabelaVendas1__2[[#This Row],[Valor_Unitario]])</f>
        <v>7600</v>
      </c>
      <c r="N327">
        <f>SUM(TabelaVendas1__2[[#This Row],[Valor_UnitarioXQtd]],TabelaVendas1__2[[#This Row],[Valor_Lucro]])</f>
        <v>10640</v>
      </c>
      <c r="O327" s="2" t="s">
        <v>76</v>
      </c>
    </row>
    <row r="328" spans="1:15">
      <c r="A328" t="s">
        <v>205</v>
      </c>
      <c r="B328" t="s">
        <v>22</v>
      </c>
      <c r="C328" t="s">
        <v>23</v>
      </c>
      <c r="D328" t="s">
        <v>146</v>
      </c>
      <c r="E328" s="1">
        <v>44740</v>
      </c>
      <c r="F328" t="s">
        <v>27</v>
      </c>
      <c r="G328" t="str">
        <f ca="1">VLOOKUP(RAND(),{0,"Lucas";0.39,"Roberto";0.63,"Carla";0.78,"Pedro";0.93,"Emilly"},2,TRUE)</f>
        <v>Lucas</v>
      </c>
      <c r="H328">
        <v>1</v>
      </c>
      <c r="I328">
        <v>6400</v>
      </c>
      <c r="J328">
        <v>0.4</v>
      </c>
      <c r="K328">
        <f>PRODUCT(TabelaVendas1__2[[#This Row],[Valor_UnitarioXQtd]],TabelaVendas1__2[[#This Row],[Percentual_Lucro]])</f>
        <v>2560</v>
      </c>
      <c r="L328">
        <v>6400</v>
      </c>
      <c r="M328">
        <f>PRODUCT(TabelaVendas1__2[[#This Row],[Quantidade]],TabelaVendas1__2[[#This Row],[Valor_Unitario]])</f>
        <v>6400</v>
      </c>
      <c r="N328">
        <f>SUM(TabelaVendas1__2[[#This Row],[Valor_UnitarioXQtd]],TabelaVendas1__2[[#This Row],[Valor_Lucro]])</f>
        <v>8960</v>
      </c>
      <c r="O328" s="2" t="s">
        <v>147</v>
      </c>
    </row>
    <row r="329" spans="1:15">
      <c r="A329" t="s">
        <v>206</v>
      </c>
      <c r="B329" t="s">
        <v>22</v>
      </c>
      <c r="C329" t="s">
        <v>23</v>
      </c>
      <c r="D329" t="s">
        <v>18</v>
      </c>
      <c r="E329" s="1">
        <v>44770</v>
      </c>
      <c r="F329" t="s">
        <v>30</v>
      </c>
      <c r="G329" t="str">
        <f ca="1">VLOOKUP(RAND(),{0,"Lucas";0.39,"Roberto";0.63,"Carla";0.78,"Pedro";0.93,"Emilly"},2,TRUE)</f>
        <v>Pedro</v>
      </c>
      <c r="H329">
        <v>1</v>
      </c>
      <c r="I329">
        <v>880</v>
      </c>
      <c r="J329">
        <v>0.4</v>
      </c>
      <c r="K329">
        <f>PRODUCT(TabelaVendas1__2[[#This Row],[Valor_UnitarioXQtd]],TabelaVendas1__2[[#This Row],[Percentual_Lucro]])</f>
        <v>352</v>
      </c>
      <c r="L329">
        <v>880</v>
      </c>
      <c r="M329">
        <f>PRODUCT(TabelaVendas1__2[[#This Row],[Quantidade]],TabelaVendas1__2[[#This Row],[Valor_Unitario]])</f>
        <v>880</v>
      </c>
      <c r="N329">
        <f>SUM(TabelaVendas1__2[[#This Row],[Valor_UnitarioXQtd]],TabelaVendas1__2[[#This Row],[Valor_Lucro]])</f>
        <v>1232</v>
      </c>
      <c r="O329" s="2" t="s">
        <v>20</v>
      </c>
    </row>
    <row r="330" spans="1:15">
      <c r="A330" t="s">
        <v>139</v>
      </c>
      <c r="B330" t="s">
        <v>22</v>
      </c>
      <c r="C330" t="s">
        <v>23</v>
      </c>
      <c r="D330" t="s">
        <v>18</v>
      </c>
      <c r="E330" s="1">
        <v>44770</v>
      </c>
      <c r="F330" t="s">
        <v>19</v>
      </c>
      <c r="G330" t="str">
        <f ca="1">VLOOKUP(RAND(),{0,"Lucas";0.39,"Roberto";0.63,"Carla";0.78,"Pedro";0.93,"Emilly"},2,TRUE)</f>
        <v>Lucas</v>
      </c>
      <c r="H330">
        <v>1</v>
      </c>
      <c r="I330">
        <v>2300</v>
      </c>
      <c r="J330">
        <v>0.4</v>
      </c>
      <c r="K330">
        <f>PRODUCT(TabelaVendas1__2[[#This Row],[Valor_UnitarioXQtd]],TabelaVendas1__2[[#This Row],[Percentual_Lucro]])</f>
        <v>920</v>
      </c>
      <c r="L330">
        <v>2300</v>
      </c>
      <c r="M330">
        <f>PRODUCT(TabelaVendas1__2[[#This Row],[Quantidade]],TabelaVendas1__2[[#This Row],[Valor_Unitario]])</f>
        <v>2300</v>
      </c>
      <c r="N330">
        <f>SUM(TabelaVendas1__2[[#This Row],[Valor_UnitarioXQtd]],TabelaVendas1__2[[#This Row],[Valor_Lucro]])</f>
        <v>3220</v>
      </c>
      <c r="O330" s="2" t="s">
        <v>20</v>
      </c>
    </row>
    <row r="331" spans="1:15">
      <c r="A331" t="s">
        <v>168</v>
      </c>
      <c r="B331" t="s">
        <v>22</v>
      </c>
      <c r="C331" t="s">
        <v>33</v>
      </c>
      <c r="D331" t="s">
        <v>29</v>
      </c>
      <c r="E331" s="1">
        <v>44770</v>
      </c>
      <c r="F331" t="s">
        <v>30</v>
      </c>
      <c r="G331" t="str">
        <f ca="1">VLOOKUP(RAND(),{0,"Lucas";0.39,"Roberto";0.63,"Carla";0.78,"Pedro";0.93,"Emilly"},2,TRUE)</f>
        <v>Pedro</v>
      </c>
      <c r="H331">
        <v>1</v>
      </c>
      <c r="I331">
        <v>760</v>
      </c>
      <c r="J331">
        <v>0.4</v>
      </c>
      <c r="K331">
        <f>PRODUCT(TabelaVendas1__2[[#This Row],[Valor_UnitarioXQtd]],TabelaVendas1__2[[#This Row],[Percentual_Lucro]])</f>
        <v>304</v>
      </c>
      <c r="L331">
        <v>760</v>
      </c>
      <c r="M331">
        <f>PRODUCT(TabelaVendas1__2[[#This Row],[Quantidade]],TabelaVendas1__2[[#This Row],[Valor_Unitario]])</f>
        <v>760</v>
      </c>
      <c r="N331">
        <f>SUM(TabelaVendas1__2[[#This Row],[Valor_UnitarioXQtd]],TabelaVendas1__2[[#This Row],[Valor_Lucro]])</f>
        <v>1064</v>
      </c>
      <c r="O331" s="2" t="s">
        <v>31</v>
      </c>
    </row>
    <row r="332" spans="1:15">
      <c r="A332" t="s">
        <v>181</v>
      </c>
      <c r="B332" t="s">
        <v>22</v>
      </c>
      <c r="C332" t="s">
        <v>23</v>
      </c>
      <c r="D332" t="s">
        <v>34</v>
      </c>
      <c r="E332" s="1">
        <v>44770</v>
      </c>
      <c r="F332" t="s">
        <v>30</v>
      </c>
      <c r="G332" t="str">
        <f ca="1">VLOOKUP(RAND(),{0,"Lucas";0.39,"Roberto";0.63,"Carla";0.78,"Pedro";0.93,"Emilly"},2,TRUE)</f>
        <v>Pedro</v>
      </c>
      <c r="H332">
        <v>1</v>
      </c>
      <c r="I332">
        <v>2100</v>
      </c>
      <c r="J332">
        <v>0.4</v>
      </c>
      <c r="K332">
        <f>PRODUCT(TabelaVendas1__2[[#This Row],[Valor_UnitarioXQtd]],TabelaVendas1__2[[#This Row],[Percentual_Lucro]])</f>
        <v>840</v>
      </c>
      <c r="L332">
        <v>2100</v>
      </c>
      <c r="M332">
        <f>PRODUCT(TabelaVendas1__2[[#This Row],[Quantidade]],TabelaVendas1__2[[#This Row],[Valor_Unitario]])</f>
        <v>2100</v>
      </c>
      <c r="N332">
        <f>SUM(TabelaVendas1__2[[#This Row],[Valor_UnitarioXQtd]],TabelaVendas1__2[[#This Row],[Valor_Lucro]])</f>
        <v>2940</v>
      </c>
      <c r="O332" s="2" t="s">
        <v>35</v>
      </c>
    </row>
    <row r="333" spans="1:15">
      <c r="A333" t="s">
        <v>207</v>
      </c>
      <c r="B333" t="s">
        <v>22</v>
      </c>
      <c r="C333" t="s">
        <v>33</v>
      </c>
      <c r="D333" t="s">
        <v>34</v>
      </c>
      <c r="E333" s="1">
        <v>44770</v>
      </c>
      <c r="F333" t="s">
        <v>30</v>
      </c>
      <c r="G333" t="str">
        <f ca="1">VLOOKUP(RAND(),{0,"Lucas";0.39,"Roberto";0.63,"Carla";0.78,"Pedro";0.93,"Emilly"},2,TRUE)</f>
        <v>Lucas</v>
      </c>
      <c r="H333">
        <v>1</v>
      </c>
      <c r="I333">
        <v>5800</v>
      </c>
      <c r="J333">
        <v>0.4</v>
      </c>
      <c r="K333">
        <f>PRODUCT(TabelaVendas1__2[[#This Row],[Valor_UnitarioXQtd]],TabelaVendas1__2[[#This Row],[Percentual_Lucro]])</f>
        <v>2320</v>
      </c>
      <c r="L333">
        <v>5800</v>
      </c>
      <c r="M333">
        <f>PRODUCT(TabelaVendas1__2[[#This Row],[Quantidade]],TabelaVendas1__2[[#This Row],[Valor_Unitario]])</f>
        <v>5800</v>
      </c>
      <c r="N333">
        <f>SUM(TabelaVendas1__2[[#This Row],[Valor_UnitarioXQtd]],TabelaVendas1__2[[#This Row],[Valor_Lucro]])</f>
        <v>8120</v>
      </c>
      <c r="O333" s="2" t="s">
        <v>35</v>
      </c>
    </row>
    <row r="334" spans="1:15">
      <c r="A334" t="s">
        <v>208</v>
      </c>
      <c r="B334" t="s">
        <v>22</v>
      </c>
      <c r="C334" t="s">
        <v>23</v>
      </c>
      <c r="D334" t="s">
        <v>24</v>
      </c>
      <c r="E334" s="1">
        <v>44798</v>
      </c>
      <c r="F334" t="s">
        <v>27</v>
      </c>
      <c r="G334" t="str">
        <f ca="1">VLOOKUP(RAND(),{0,"Lucas";0.39,"Roberto";0.63,"Carla";0.78,"Pedro";0.93,"Emilly"},2,TRUE)</f>
        <v>Roberto</v>
      </c>
      <c r="H334">
        <v>1</v>
      </c>
      <c r="I334">
        <v>6000</v>
      </c>
      <c r="J334">
        <v>0.4</v>
      </c>
      <c r="K334">
        <f>PRODUCT(TabelaVendas1__2[[#This Row],[Valor_UnitarioXQtd]],TabelaVendas1__2[[#This Row],[Percentual_Lucro]])</f>
        <v>2400</v>
      </c>
      <c r="L334">
        <v>6000</v>
      </c>
      <c r="M334">
        <f>PRODUCT(TabelaVendas1__2[[#This Row],[Quantidade]],TabelaVendas1__2[[#This Row],[Valor_Unitario]])</f>
        <v>6000</v>
      </c>
      <c r="N334">
        <f>SUM(TabelaVendas1__2[[#This Row],[Valor_UnitarioXQtd]],TabelaVendas1__2[[#This Row],[Valor_Lucro]])</f>
        <v>8400</v>
      </c>
      <c r="O334" s="2" t="s">
        <v>25</v>
      </c>
    </row>
    <row r="335" spans="1:15">
      <c r="A335" t="s">
        <v>209</v>
      </c>
      <c r="B335" t="s">
        <v>22</v>
      </c>
      <c r="C335" t="s">
        <v>23</v>
      </c>
      <c r="D335" t="s">
        <v>24</v>
      </c>
      <c r="E335" s="1">
        <v>44798</v>
      </c>
      <c r="F335" t="s">
        <v>19</v>
      </c>
      <c r="G335" t="str">
        <f ca="1">VLOOKUP(RAND(),{0,"Lucas";0.39,"Roberto";0.63,"Carla";0.78,"Pedro";0.93,"Emilly"},2,TRUE)</f>
        <v>Carla</v>
      </c>
      <c r="H335">
        <v>1</v>
      </c>
      <c r="I335">
        <v>5500</v>
      </c>
      <c r="J335">
        <v>0.4</v>
      </c>
      <c r="K335">
        <f>PRODUCT(TabelaVendas1__2[[#This Row],[Valor_UnitarioXQtd]],TabelaVendas1__2[[#This Row],[Percentual_Lucro]])</f>
        <v>2200</v>
      </c>
      <c r="L335">
        <v>5500</v>
      </c>
      <c r="M335">
        <f>PRODUCT(TabelaVendas1__2[[#This Row],[Quantidade]],TabelaVendas1__2[[#This Row],[Valor_Unitario]])</f>
        <v>5500</v>
      </c>
      <c r="N335">
        <f>SUM(TabelaVendas1__2[[#This Row],[Valor_UnitarioXQtd]],TabelaVendas1__2[[#This Row],[Valor_Lucro]])</f>
        <v>7700</v>
      </c>
      <c r="O335" s="2" t="s">
        <v>25</v>
      </c>
    </row>
    <row r="336" spans="1:15">
      <c r="A336" t="s">
        <v>210</v>
      </c>
      <c r="B336" t="s">
        <v>22</v>
      </c>
      <c r="C336" t="s">
        <v>23</v>
      </c>
      <c r="D336" t="s">
        <v>24</v>
      </c>
      <c r="E336" s="1">
        <v>44798</v>
      </c>
      <c r="F336" t="s">
        <v>30</v>
      </c>
      <c r="G336" t="str">
        <f ca="1">VLOOKUP(RAND(),{0,"Lucas";0.39,"Roberto";0.63,"Carla";0.78,"Pedro";0.93,"Emilly"},2,TRUE)</f>
        <v>Emilly</v>
      </c>
      <c r="H336">
        <v>1</v>
      </c>
      <c r="I336">
        <v>6950</v>
      </c>
      <c r="J336">
        <v>0.4</v>
      </c>
      <c r="K336">
        <f>PRODUCT(TabelaVendas1__2[[#This Row],[Valor_UnitarioXQtd]],TabelaVendas1__2[[#This Row],[Percentual_Lucro]])</f>
        <v>2780</v>
      </c>
      <c r="L336">
        <v>6950</v>
      </c>
      <c r="M336">
        <f>PRODUCT(TabelaVendas1__2[[#This Row],[Quantidade]],TabelaVendas1__2[[#This Row],[Valor_Unitario]])</f>
        <v>6950</v>
      </c>
      <c r="N336">
        <f>SUM(TabelaVendas1__2[[#This Row],[Valor_UnitarioXQtd]],TabelaVendas1__2[[#This Row],[Valor_Lucro]])</f>
        <v>9730</v>
      </c>
      <c r="O336" s="2" t="s">
        <v>25</v>
      </c>
    </row>
    <row r="337" spans="1:15">
      <c r="A337" t="s">
        <v>182</v>
      </c>
      <c r="B337" t="s">
        <v>22</v>
      </c>
      <c r="C337" t="s">
        <v>23</v>
      </c>
      <c r="D337" t="s">
        <v>18</v>
      </c>
      <c r="E337" s="1">
        <v>44833</v>
      </c>
      <c r="F337" t="s">
        <v>19</v>
      </c>
      <c r="G337" t="str">
        <f ca="1">VLOOKUP(RAND(),{0,"Lucas";0.39,"Roberto";0.63,"Carla";0.78,"Pedro";0.93,"Emilly"},2,TRUE)</f>
        <v>Lucas</v>
      </c>
      <c r="H337">
        <v>1</v>
      </c>
      <c r="I337">
        <v>6500</v>
      </c>
      <c r="J337">
        <v>0.4</v>
      </c>
      <c r="K337">
        <f>PRODUCT(TabelaVendas1__2[[#This Row],[Valor_UnitarioXQtd]],TabelaVendas1__2[[#This Row],[Percentual_Lucro]])</f>
        <v>2600</v>
      </c>
      <c r="L337">
        <v>6500</v>
      </c>
      <c r="M337">
        <f>PRODUCT(TabelaVendas1__2[[#This Row],[Quantidade]],TabelaVendas1__2[[#This Row],[Valor_Unitario]])</f>
        <v>6500</v>
      </c>
      <c r="N337">
        <f>SUM(TabelaVendas1__2[[#This Row],[Valor_UnitarioXQtd]],TabelaVendas1__2[[#This Row],[Valor_Lucro]])</f>
        <v>9100</v>
      </c>
      <c r="O337" s="2" t="s">
        <v>20</v>
      </c>
    </row>
    <row r="338" spans="1:15">
      <c r="A338" t="s">
        <v>211</v>
      </c>
      <c r="B338" t="s">
        <v>22</v>
      </c>
      <c r="C338" t="s">
        <v>23</v>
      </c>
      <c r="D338" t="s">
        <v>126</v>
      </c>
      <c r="E338" s="1">
        <v>44833</v>
      </c>
      <c r="F338" t="s">
        <v>19</v>
      </c>
      <c r="G338" t="str">
        <f ca="1">VLOOKUP(RAND(),{0,"Lucas";0.39,"Roberto";0.63,"Carla";0.78,"Pedro";0.93,"Emilly"},2,TRUE)</f>
        <v>Lucas</v>
      </c>
      <c r="H338">
        <v>1</v>
      </c>
      <c r="I338">
        <v>2500</v>
      </c>
      <c r="J338">
        <v>0.4</v>
      </c>
      <c r="K338">
        <f>PRODUCT(TabelaVendas1__2[[#This Row],[Valor_UnitarioXQtd]],TabelaVendas1__2[[#This Row],[Percentual_Lucro]])</f>
        <v>1000</v>
      </c>
      <c r="L338">
        <v>2500</v>
      </c>
      <c r="M338">
        <f>PRODUCT(TabelaVendas1__2[[#This Row],[Quantidade]],TabelaVendas1__2[[#This Row],[Valor_Unitario]])</f>
        <v>2500</v>
      </c>
      <c r="N338">
        <f>SUM(TabelaVendas1__2[[#This Row],[Valor_UnitarioXQtd]],TabelaVendas1__2[[#This Row],[Valor_Lucro]])</f>
        <v>3500</v>
      </c>
      <c r="O338" s="2" t="s">
        <v>127</v>
      </c>
    </row>
    <row r="339" spans="1:15">
      <c r="A339" t="s">
        <v>212</v>
      </c>
      <c r="B339" t="s">
        <v>22</v>
      </c>
      <c r="C339" t="s">
        <v>23</v>
      </c>
      <c r="D339" t="s">
        <v>54</v>
      </c>
      <c r="E339" s="1">
        <v>44833</v>
      </c>
      <c r="F339" t="s">
        <v>19</v>
      </c>
      <c r="G339" t="str">
        <f ca="1">VLOOKUP(RAND(),{0,"Lucas";0.39,"Roberto";0.63,"Carla";0.78,"Pedro";0.93,"Emilly"},2,TRUE)</f>
        <v>Lucas</v>
      </c>
      <c r="H339">
        <v>1</v>
      </c>
      <c r="I339">
        <v>8500</v>
      </c>
      <c r="J339">
        <v>0.4</v>
      </c>
      <c r="K339">
        <f>PRODUCT(TabelaVendas1__2[[#This Row],[Valor_UnitarioXQtd]],TabelaVendas1__2[[#This Row],[Percentual_Lucro]])</f>
        <v>3400</v>
      </c>
      <c r="L339">
        <v>8500</v>
      </c>
      <c r="M339">
        <f>PRODUCT(TabelaVendas1__2[[#This Row],[Quantidade]],TabelaVendas1__2[[#This Row],[Valor_Unitario]])</f>
        <v>8500</v>
      </c>
      <c r="N339">
        <f>SUM(TabelaVendas1__2[[#This Row],[Valor_UnitarioXQtd]],TabelaVendas1__2[[#This Row],[Valor_Lucro]])</f>
        <v>11900</v>
      </c>
      <c r="O339" s="2" t="s">
        <v>55</v>
      </c>
    </row>
    <row r="340" spans="1:15">
      <c r="A340" t="s">
        <v>213</v>
      </c>
      <c r="B340" t="s">
        <v>22</v>
      </c>
      <c r="C340" t="s">
        <v>23</v>
      </c>
      <c r="D340" t="s">
        <v>42</v>
      </c>
      <c r="E340" s="1">
        <v>44862</v>
      </c>
      <c r="F340" t="s">
        <v>19</v>
      </c>
      <c r="G340" t="str">
        <f ca="1">VLOOKUP(RAND(),{0,"Lucas";0.39,"Roberto";0.63,"Carla";0.78,"Pedro";0.93,"Emilly"},2,TRUE)</f>
        <v>Pedro</v>
      </c>
      <c r="H340">
        <v>1</v>
      </c>
      <c r="I340">
        <v>1250</v>
      </c>
      <c r="J340">
        <v>0.4</v>
      </c>
      <c r="K340">
        <f>PRODUCT(TabelaVendas1__2[[#This Row],[Valor_UnitarioXQtd]],TabelaVendas1__2[[#This Row],[Percentual_Lucro]])</f>
        <v>500</v>
      </c>
      <c r="L340">
        <v>1250</v>
      </c>
      <c r="M340">
        <f>PRODUCT(TabelaVendas1__2[[#This Row],[Quantidade]],TabelaVendas1__2[[#This Row],[Valor_Unitario]])</f>
        <v>1250</v>
      </c>
      <c r="N340">
        <f>SUM(TabelaVendas1__2[[#This Row],[Valor_UnitarioXQtd]],TabelaVendas1__2[[#This Row],[Valor_Lucro]])</f>
        <v>1750</v>
      </c>
      <c r="O340" s="2" t="s">
        <v>43</v>
      </c>
    </row>
    <row r="341" spans="1:15">
      <c r="A341" t="s">
        <v>214</v>
      </c>
      <c r="B341" t="s">
        <v>22</v>
      </c>
      <c r="C341" t="s">
        <v>23</v>
      </c>
      <c r="D341" t="s">
        <v>24</v>
      </c>
      <c r="E341" s="1">
        <v>44862</v>
      </c>
      <c r="F341" t="s">
        <v>30</v>
      </c>
      <c r="G341" t="str">
        <f ca="1">VLOOKUP(RAND(),{0,"Lucas";0.39,"Roberto";0.63,"Carla";0.78,"Pedro";0.93,"Emilly"},2,TRUE)</f>
        <v>Pedro</v>
      </c>
      <c r="H341">
        <v>1</v>
      </c>
      <c r="I341">
        <v>11500</v>
      </c>
      <c r="J341">
        <v>0.4</v>
      </c>
      <c r="K341">
        <f>PRODUCT(TabelaVendas1__2[[#This Row],[Valor_UnitarioXQtd]],TabelaVendas1__2[[#This Row],[Percentual_Lucro]])</f>
        <v>4600</v>
      </c>
      <c r="L341">
        <v>11500</v>
      </c>
      <c r="M341">
        <f>PRODUCT(TabelaVendas1__2[[#This Row],[Quantidade]],TabelaVendas1__2[[#This Row],[Valor_Unitario]])</f>
        <v>11500</v>
      </c>
      <c r="N341">
        <f>SUM(TabelaVendas1__2[[#This Row],[Valor_UnitarioXQtd]],TabelaVendas1__2[[#This Row],[Valor_Lucro]])</f>
        <v>16100</v>
      </c>
      <c r="O341" s="2" t="s">
        <v>25</v>
      </c>
    </row>
    <row r="342" spans="1:15">
      <c r="A342" t="s">
        <v>199</v>
      </c>
      <c r="B342" t="s">
        <v>22</v>
      </c>
      <c r="C342" t="s">
        <v>23</v>
      </c>
      <c r="D342" t="s">
        <v>126</v>
      </c>
      <c r="E342" s="1">
        <v>44862</v>
      </c>
      <c r="F342" t="s">
        <v>19</v>
      </c>
      <c r="G342" t="str">
        <f ca="1">VLOOKUP(RAND(),{0,"Lucas";0.39,"Roberto";0.63,"Carla";0.78,"Pedro";0.93,"Emilly"},2,TRUE)</f>
        <v>Carla</v>
      </c>
      <c r="H342">
        <v>1</v>
      </c>
      <c r="I342">
        <v>360</v>
      </c>
      <c r="J342">
        <v>0.4</v>
      </c>
      <c r="K342">
        <f>PRODUCT(TabelaVendas1__2[[#This Row],[Valor_UnitarioXQtd]],TabelaVendas1__2[[#This Row],[Percentual_Lucro]])</f>
        <v>144</v>
      </c>
      <c r="L342">
        <v>360</v>
      </c>
      <c r="M342">
        <f>PRODUCT(TabelaVendas1__2[[#This Row],[Quantidade]],TabelaVendas1__2[[#This Row],[Valor_Unitario]])</f>
        <v>360</v>
      </c>
      <c r="N342">
        <f>SUM(TabelaVendas1__2[[#This Row],[Valor_UnitarioXQtd]],TabelaVendas1__2[[#This Row],[Valor_Lucro]])</f>
        <v>504</v>
      </c>
      <c r="O342" s="2" t="s">
        <v>127</v>
      </c>
    </row>
    <row r="343" spans="1:15">
      <c r="A343" t="s">
        <v>183</v>
      </c>
      <c r="B343" t="s">
        <v>22</v>
      </c>
      <c r="C343" t="s">
        <v>23</v>
      </c>
      <c r="D343" t="s">
        <v>54</v>
      </c>
      <c r="E343" s="1">
        <v>44862</v>
      </c>
      <c r="F343" t="s">
        <v>30</v>
      </c>
      <c r="G343" t="str">
        <f ca="1">VLOOKUP(RAND(),{0,"Lucas";0.39,"Roberto";0.63,"Carla";0.78,"Pedro";0.93,"Emilly"},2,TRUE)</f>
        <v>Roberto</v>
      </c>
      <c r="H343">
        <v>1</v>
      </c>
      <c r="I343">
        <v>4500</v>
      </c>
      <c r="J343">
        <v>0.4</v>
      </c>
      <c r="K343">
        <f>PRODUCT(TabelaVendas1__2[[#This Row],[Valor_UnitarioXQtd]],TabelaVendas1__2[[#This Row],[Percentual_Lucro]])</f>
        <v>1800</v>
      </c>
      <c r="L343">
        <v>4500</v>
      </c>
      <c r="M343">
        <f>PRODUCT(TabelaVendas1__2[[#This Row],[Quantidade]],TabelaVendas1__2[[#This Row],[Valor_Unitario]])</f>
        <v>4500</v>
      </c>
      <c r="N343">
        <f>SUM(TabelaVendas1__2[[#This Row],[Valor_UnitarioXQtd]],TabelaVendas1__2[[#This Row],[Valor_Lucro]])</f>
        <v>6300</v>
      </c>
      <c r="O343" s="2" t="s">
        <v>55</v>
      </c>
    </row>
    <row r="344" spans="1:15">
      <c r="A344" t="s">
        <v>215</v>
      </c>
      <c r="B344" t="s">
        <v>16</v>
      </c>
      <c r="C344" t="s">
        <v>17</v>
      </c>
      <c r="D344" t="s">
        <v>54</v>
      </c>
      <c r="E344" s="1">
        <v>44862</v>
      </c>
      <c r="F344" t="s">
        <v>30</v>
      </c>
      <c r="G344" t="str">
        <f ca="1">VLOOKUP(RAND(),{0,"Lucas";0.39,"Roberto";0.63,"Carla";0.78,"Pedro";0.93,"Emilly"},2,TRUE)</f>
        <v>Lucas</v>
      </c>
      <c r="H344">
        <v>1</v>
      </c>
      <c r="I344">
        <v>2000</v>
      </c>
      <c r="J344">
        <v>0.4</v>
      </c>
      <c r="K344">
        <f>PRODUCT(TabelaVendas1__2[[#This Row],[Valor_UnitarioXQtd]],TabelaVendas1__2[[#This Row],[Percentual_Lucro]])</f>
        <v>800</v>
      </c>
      <c r="L344">
        <v>2000</v>
      </c>
      <c r="M344">
        <f>PRODUCT(TabelaVendas1__2[[#This Row],[Quantidade]],TabelaVendas1__2[[#This Row],[Valor_Unitario]])</f>
        <v>2000</v>
      </c>
      <c r="N344">
        <f>SUM(TabelaVendas1__2[[#This Row],[Valor_UnitarioXQtd]],TabelaVendas1__2[[#This Row],[Valor_Lucro]])</f>
        <v>2800</v>
      </c>
      <c r="O344" s="2" t="s">
        <v>55</v>
      </c>
    </row>
    <row r="345" spans="1:15">
      <c r="A345" t="s">
        <v>216</v>
      </c>
      <c r="B345" t="s">
        <v>22</v>
      </c>
      <c r="C345" t="s">
        <v>33</v>
      </c>
      <c r="D345" t="s">
        <v>42</v>
      </c>
      <c r="E345" s="1">
        <v>44894</v>
      </c>
      <c r="F345" t="s">
        <v>27</v>
      </c>
      <c r="G345" t="str">
        <f ca="1">VLOOKUP(RAND(),{0,"Lucas";0.39,"Roberto";0.63,"Carla";0.78,"Pedro";0.93,"Emilly"},2,TRUE)</f>
        <v>Lucas</v>
      </c>
      <c r="H345">
        <v>1</v>
      </c>
      <c r="I345">
        <v>1200</v>
      </c>
      <c r="J345">
        <v>0.4</v>
      </c>
      <c r="K345">
        <f>PRODUCT(TabelaVendas1__2[[#This Row],[Valor_UnitarioXQtd]],TabelaVendas1__2[[#This Row],[Percentual_Lucro]])</f>
        <v>480</v>
      </c>
      <c r="L345">
        <v>1200</v>
      </c>
      <c r="M345">
        <f>PRODUCT(TabelaVendas1__2[[#This Row],[Quantidade]],TabelaVendas1__2[[#This Row],[Valor_Unitario]])</f>
        <v>1200</v>
      </c>
      <c r="N345">
        <f>SUM(TabelaVendas1__2[[#This Row],[Valor_UnitarioXQtd]],TabelaVendas1__2[[#This Row],[Valor_Lucro]])</f>
        <v>1680</v>
      </c>
      <c r="O345" s="2" t="s">
        <v>43</v>
      </c>
    </row>
    <row r="346" spans="1:15">
      <c r="A346" t="s">
        <v>62</v>
      </c>
      <c r="B346" t="s">
        <v>22</v>
      </c>
      <c r="C346" t="s">
        <v>23</v>
      </c>
      <c r="D346" t="s">
        <v>24</v>
      </c>
      <c r="E346" s="1">
        <v>44894</v>
      </c>
      <c r="F346" t="s">
        <v>19</v>
      </c>
      <c r="G346" t="str">
        <f ca="1">VLOOKUP(RAND(),{0,"Lucas";0.39,"Roberto";0.63,"Carla";0.78,"Pedro";0.93,"Emilly"},2,TRUE)</f>
        <v>Pedro</v>
      </c>
      <c r="H346">
        <v>1</v>
      </c>
      <c r="I346">
        <v>13000</v>
      </c>
      <c r="J346">
        <v>0.4</v>
      </c>
      <c r="K346">
        <f>PRODUCT(TabelaVendas1__2[[#This Row],[Valor_UnitarioXQtd]],TabelaVendas1__2[[#This Row],[Percentual_Lucro]])</f>
        <v>5200</v>
      </c>
      <c r="L346">
        <v>13000</v>
      </c>
      <c r="M346">
        <f>PRODUCT(TabelaVendas1__2[[#This Row],[Quantidade]],TabelaVendas1__2[[#This Row],[Valor_Unitario]])</f>
        <v>13000</v>
      </c>
      <c r="N346">
        <f>SUM(TabelaVendas1__2[[#This Row],[Valor_UnitarioXQtd]],TabelaVendas1__2[[#This Row],[Valor_Lucro]])</f>
        <v>18200</v>
      </c>
      <c r="O346" s="2" t="s">
        <v>25</v>
      </c>
    </row>
    <row r="347" spans="1:15">
      <c r="A347" t="s">
        <v>217</v>
      </c>
      <c r="B347" t="s">
        <v>16</v>
      </c>
      <c r="C347" t="s">
        <v>17</v>
      </c>
      <c r="D347" t="s">
        <v>24</v>
      </c>
      <c r="E347" s="1">
        <v>44894</v>
      </c>
      <c r="F347" t="s">
        <v>27</v>
      </c>
      <c r="G347" t="str">
        <f ca="1">VLOOKUP(RAND(),{0,"Lucas";0.39,"Roberto";0.63,"Carla";0.78,"Pedro";0.93,"Emilly"},2,TRUE)</f>
        <v>Emilly</v>
      </c>
      <c r="H347">
        <v>1</v>
      </c>
      <c r="I347">
        <v>4500</v>
      </c>
      <c r="J347">
        <v>0.4</v>
      </c>
      <c r="K347">
        <f>PRODUCT(TabelaVendas1__2[[#This Row],[Valor_UnitarioXQtd]],TabelaVendas1__2[[#This Row],[Percentual_Lucro]])</f>
        <v>1800</v>
      </c>
      <c r="L347">
        <v>4500</v>
      </c>
      <c r="M347">
        <f>PRODUCT(TabelaVendas1__2[[#This Row],[Quantidade]],TabelaVendas1__2[[#This Row],[Valor_Unitario]])</f>
        <v>4500</v>
      </c>
      <c r="N347">
        <f>SUM(TabelaVendas1__2[[#This Row],[Valor_UnitarioXQtd]],TabelaVendas1__2[[#This Row],[Valor_Lucro]])</f>
        <v>6300</v>
      </c>
      <c r="O347" s="2" t="s">
        <v>25</v>
      </c>
    </row>
    <row r="348" spans="1:15">
      <c r="A348" t="s">
        <v>91</v>
      </c>
      <c r="B348" t="s">
        <v>22</v>
      </c>
      <c r="C348" t="s">
        <v>23</v>
      </c>
      <c r="D348" t="s">
        <v>18</v>
      </c>
      <c r="E348" s="1">
        <v>44894</v>
      </c>
      <c r="F348" t="s">
        <v>19</v>
      </c>
      <c r="G348" t="str">
        <f ca="1">VLOOKUP(RAND(),{0,"Lucas";0.39,"Roberto";0.63,"Carla";0.78,"Pedro";0.93,"Emilly"},2,TRUE)</f>
        <v>Roberto</v>
      </c>
      <c r="H348">
        <v>1</v>
      </c>
      <c r="I348">
        <v>3500</v>
      </c>
      <c r="J348">
        <v>0.4</v>
      </c>
      <c r="K348">
        <f>PRODUCT(TabelaVendas1__2[[#This Row],[Valor_UnitarioXQtd]],TabelaVendas1__2[[#This Row],[Percentual_Lucro]])</f>
        <v>1400</v>
      </c>
      <c r="L348">
        <v>3500</v>
      </c>
      <c r="M348">
        <f>PRODUCT(TabelaVendas1__2[[#This Row],[Quantidade]],TabelaVendas1__2[[#This Row],[Valor_Unitario]])</f>
        <v>3500</v>
      </c>
      <c r="N348">
        <f>SUM(TabelaVendas1__2[[#This Row],[Valor_UnitarioXQtd]],TabelaVendas1__2[[#This Row],[Valor_Lucro]])</f>
        <v>4900</v>
      </c>
      <c r="O348" s="2" t="s">
        <v>20</v>
      </c>
    </row>
    <row r="349" spans="1:15">
      <c r="A349" t="s">
        <v>218</v>
      </c>
      <c r="B349" t="s">
        <v>22</v>
      </c>
      <c r="C349" t="s">
        <v>33</v>
      </c>
      <c r="D349" t="s">
        <v>42</v>
      </c>
      <c r="E349" s="1">
        <v>44922</v>
      </c>
      <c r="F349" t="s">
        <v>27</v>
      </c>
      <c r="G349" t="str">
        <f ca="1">VLOOKUP(RAND(),{0,"Lucas";0.39,"Roberto";0.63,"Carla";0.78,"Pedro";0.93,"Emilly"},2,TRUE)</f>
        <v>Pedro</v>
      </c>
      <c r="H349">
        <v>1</v>
      </c>
      <c r="I349">
        <v>6300</v>
      </c>
      <c r="J349">
        <v>0.4</v>
      </c>
      <c r="K349">
        <f>PRODUCT(TabelaVendas1__2[[#This Row],[Valor_UnitarioXQtd]],TabelaVendas1__2[[#This Row],[Percentual_Lucro]])</f>
        <v>2520</v>
      </c>
      <c r="L349">
        <v>6300</v>
      </c>
      <c r="M349">
        <f>PRODUCT(TabelaVendas1__2[[#This Row],[Quantidade]],TabelaVendas1__2[[#This Row],[Valor_Unitario]])</f>
        <v>6300</v>
      </c>
      <c r="N349">
        <f>SUM(TabelaVendas1__2[[#This Row],[Valor_UnitarioXQtd]],TabelaVendas1__2[[#This Row],[Valor_Lucro]])</f>
        <v>8820</v>
      </c>
      <c r="O349" s="2" t="s">
        <v>43</v>
      </c>
    </row>
    <row r="350" spans="1:15">
      <c r="A350" t="s">
        <v>219</v>
      </c>
      <c r="B350" t="s">
        <v>22</v>
      </c>
      <c r="C350" t="s">
        <v>33</v>
      </c>
      <c r="D350" t="s">
        <v>42</v>
      </c>
      <c r="E350" s="1">
        <v>44922</v>
      </c>
      <c r="F350" t="s">
        <v>19</v>
      </c>
      <c r="G350" t="str">
        <f ca="1">VLOOKUP(RAND(),{0,"Lucas";0.39,"Roberto";0.63,"Carla";0.78,"Pedro";0.93,"Emilly"},2,TRUE)</f>
        <v>Lucas</v>
      </c>
      <c r="H350">
        <v>1</v>
      </c>
      <c r="I350">
        <v>900</v>
      </c>
      <c r="J350">
        <v>0.4</v>
      </c>
      <c r="K350">
        <f>PRODUCT(TabelaVendas1__2[[#This Row],[Valor_UnitarioXQtd]],TabelaVendas1__2[[#This Row],[Percentual_Lucro]])</f>
        <v>360</v>
      </c>
      <c r="L350">
        <v>900</v>
      </c>
      <c r="M350">
        <f>PRODUCT(TabelaVendas1__2[[#This Row],[Quantidade]],TabelaVendas1__2[[#This Row],[Valor_Unitario]])</f>
        <v>900</v>
      </c>
      <c r="N350">
        <f>SUM(TabelaVendas1__2[[#This Row],[Valor_UnitarioXQtd]],TabelaVendas1__2[[#This Row],[Valor_Lucro]])</f>
        <v>1260</v>
      </c>
      <c r="O350" s="2" t="s">
        <v>43</v>
      </c>
    </row>
    <row r="351" spans="1:15">
      <c r="A351" t="s">
        <v>220</v>
      </c>
      <c r="B351" t="s">
        <v>22</v>
      </c>
      <c r="C351" t="s">
        <v>23</v>
      </c>
      <c r="D351" t="s">
        <v>42</v>
      </c>
      <c r="E351" s="1">
        <v>44922</v>
      </c>
      <c r="F351" t="s">
        <v>30</v>
      </c>
      <c r="G351" t="str">
        <f ca="1">VLOOKUP(RAND(),{0,"Lucas";0.39,"Roberto";0.63,"Carla";0.78,"Pedro";0.93,"Emilly"},2,TRUE)</f>
        <v>Lucas</v>
      </c>
      <c r="H351">
        <v>1</v>
      </c>
      <c r="I351">
        <v>3300</v>
      </c>
      <c r="J351">
        <v>0.4</v>
      </c>
      <c r="K351">
        <f>PRODUCT(TabelaVendas1__2[[#This Row],[Valor_UnitarioXQtd]],TabelaVendas1__2[[#This Row],[Percentual_Lucro]])</f>
        <v>1320</v>
      </c>
      <c r="L351">
        <v>3300</v>
      </c>
      <c r="M351">
        <f>PRODUCT(TabelaVendas1__2[[#This Row],[Quantidade]],TabelaVendas1__2[[#This Row],[Valor_Unitario]])</f>
        <v>3300</v>
      </c>
      <c r="N351">
        <f>SUM(TabelaVendas1__2[[#This Row],[Valor_UnitarioXQtd]],TabelaVendas1__2[[#This Row],[Valor_Lucro]])</f>
        <v>4620</v>
      </c>
      <c r="O351" s="2" t="s">
        <v>43</v>
      </c>
    </row>
    <row r="352" spans="1:15">
      <c r="A352" t="s">
        <v>221</v>
      </c>
      <c r="B352" t="s">
        <v>22</v>
      </c>
      <c r="C352" t="s">
        <v>33</v>
      </c>
      <c r="D352" t="s">
        <v>121</v>
      </c>
      <c r="E352" s="1">
        <v>44922</v>
      </c>
      <c r="F352" t="s">
        <v>27</v>
      </c>
      <c r="G352" t="str">
        <f ca="1">VLOOKUP(RAND(),{0,"Lucas";0.39,"Roberto";0.63,"Carla";0.78,"Pedro";0.93,"Emilly"},2,TRUE)</f>
        <v>Pedro</v>
      </c>
      <c r="H352">
        <v>1</v>
      </c>
      <c r="I352">
        <v>1800</v>
      </c>
      <c r="J352">
        <v>0.4</v>
      </c>
      <c r="K352">
        <f>PRODUCT(TabelaVendas1__2[[#This Row],[Valor_UnitarioXQtd]],TabelaVendas1__2[[#This Row],[Percentual_Lucro]])</f>
        <v>720</v>
      </c>
      <c r="L352">
        <v>1800</v>
      </c>
      <c r="M352">
        <f>PRODUCT(TabelaVendas1__2[[#This Row],[Quantidade]],TabelaVendas1__2[[#This Row],[Valor_Unitario]])</f>
        <v>1800</v>
      </c>
      <c r="N352">
        <f>SUM(TabelaVendas1__2[[#This Row],[Valor_UnitarioXQtd]],TabelaVendas1__2[[#This Row],[Valor_Lucro]])</f>
        <v>2520</v>
      </c>
      <c r="O352" s="2" t="s">
        <v>122</v>
      </c>
    </row>
    <row r="353" spans="1:15">
      <c r="A353" t="s">
        <v>91</v>
      </c>
      <c r="B353" t="s">
        <v>22</v>
      </c>
      <c r="C353" t="s">
        <v>23</v>
      </c>
      <c r="D353" t="s">
        <v>18</v>
      </c>
      <c r="E353" s="1">
        <v>44922</v>
      </c>
      <c r="F353" t="s">
        <v>30</v>
      </c>
      <c r="G353" t="str">
        <f ca="1">VLOOKUP(RAND(),{0,"Lucas";0.39,"Roberto";0.63,"Carla";0.78,"Pedro";0.93,"Emilly"},2,TRUE)</f>
        <v>Roberto</v>
      </c>
      <c r="H353">
        <v>1</v>
      </c>
      <c r="I353">
        <v>3800</v>
      </c>
      <c r="J353">
        <v>0.4</v>
      </c>
      <c r="K353">
        <f>PRODUCT(TabelaVendas1__2[[#This Row],[Valor_UnitarioXQtd]],TabelaVendas1__2[[#This Row],[Percentual_Lucro]])</f>
        <v>1520</v>
      </c>
      <c r="L353">
        <v>3800</v>
      </c>
      <c r="M353">
        <f>PRODUCT(TabelaVendas1__2[[#This Row],[Quantidade]],TabelaVendas1__2[[#This Row],[Valor_Unitario]])</f>
        <v>3800</v>
      </c>
      <c r="N353">
        <f>SUM(TabelaVendas1__2[[#This Row],[Valor_UnitarioXQtd]],TabelaVendas1__2[[#This Row],[Valor_Lucro]])</f>
        <v>5320</v>
      </c>
      <c r="O353" s="2" t="s">
        <v>20</v>
      </c>
    </row>
    <row r="354" spans="1:15">
      <c r="A354" t="s">
        <v>222</v>
      </c>
      <c r="B354" t="s">
        <v>22</v>
      </c>
      <c r="C354" t="s">
        <v>23</v>
      </c>
      <c r="D354" t="s">
        <v>18</v>
      </c>
      <c r="E354" s="1">
        <v>44922</v>
      </c>
      <c r="F354" t="s">
        <v>30</v>
      </c>
      <c r="G354" t="str">
        <f ca="1">VLOOKUP(RAND(),{0,"Lucas";0.39,"Roberto";0.63,"Carla";0.78,"Pedro";0.93,"Emilly"},2,TRUE)</f>
        <v>Roberto</v>
      </c>
      <c r="H354">
        <v>1</v>
      </c>
      <c r="I354">
        <v>2500</v>
      </c>
      <c r="J354">
        <v>0.4</v>
      </c>
      <c r="K354">
        <f>PRODUCT(TabelaVendas1__2[[#This Row],[Valor_UnitarioXQtd]],TabelaVendas1__2[[#This Row],[Percentual_Lucro]])</f>
        <v>1000</v>
      </c>
      <c r="L354">
        <v>2500</v>
      </c>
      <c r="M354">
        <f>PRODUCT(TabelaVendas1__2[[#This Row],[Quantidade]],TabelaVendas1__2[[#This Row],[Valor_Unitario]])</f>
        <v>2500</v>
      </c>
      <c r="N354">
        <f>SUM(TabelaVendas1__2[[#This Row],[Valor_UnitarioXQtd]],TabelaVendas1__2[[#This Row],[Valor_Lucro]])</f>
        <v>3500</v>
      </c>
      <c r="O354" s="2" t="s">
        <v>20</v>
      </c>
    </row>
    <row r="355" spans="1:15">
      <c r="A355" t="s">
        <v>91</v>
      </c>
      <c r="B355" t="s">
        <v>22</v>
      </c>
      <c r="C355" t="s">
        <v>23</v>
      </c>
      <c r="D355" t="s">
        <v>18</v>
      </c>
      <c r="E355" s="1">
        <v>44956</v>
      </c>
      <c r="F355" t="s">
        <v>27</v>
      </c>
      <c r="G355" t="str">
        <f ca="1">VLOOKUP(RAND(),{0,"Lucas";0.39,"Roberto";0.63,"Carla";0.78,"Pedro";0.93,"Emilly"},2,TRUE)</f>
        <v>Pedro</v>
      </c>
      <c r="H355">
        <v>1</v>
      </c>
      <c r="I355">
        <v>2500</v>
      </c>
      <c r="J355">
        <v>0.4</v>
      </c>
      <c r="K355">
        <f>PRODUCT(TabelaVendas1__2[[#This Row],[Valor_UnitarioXQtd]],TabelaVendas1__2[[#This Row],[Percentual_Lucro]])</f>
        <v>1000</v>
      </c>
      <c r="L355">
        <v>2500</v>
      </c>
      <c r="M355">
        <f>PRODUCT(TabelaVendas1__2[[#This Row],[Quantidade]],TabelaVendas1__2[[#This Row],[Valor_Unitario]])</f>
        <v>2500</v>
      </c>
      <c r="N355">
        <f>SUM(TabelaVendas1__2[[#This Row],[Valor_UnitarioXQtd]],TabelaVendas1__2[[#This Row],[Valor_Lucro]])</f>
        <v>3500</v>
      </c>
      <c r="O355" s="2" t="s">
        <v>20</v>
      </c>
    </row>
    <row r="356" spans="1:15">
      <c r="A356" t="s">
        <v>223</v>
      </c>
      <c r="B356" t="s">
        <v>22</v>
      </c>
      <c r="C356" t="s">
        <v>23</v>
      </c>
      <c r="D356" t="s">
        <v>54</v>
      </c>
      <c r="E356" s="1">
        <v>44956</v>
      </c>
      <c r="F356" t="s">
        <v>30</v>
      </c>
      <c r="G356" t="str">
        <f ca="1">VLOOKUP(RAND(),{0,"Lucas";0.39,"Roberto";0.63,"Carla";0.78,"Pedro";0.93,"Emilly"},2,TRUE)</f>
        <v>Lucas</v>
      </c>
      <c r="H356">
        <v>1</v>
      </c>
      <c r="I356">
        <v>11500</v>
      </c>
      <c r="J356">
        <v>0.4</v>
      </c>
      <c r="K356">
        <f>PRODUCT(TabelaVendas1__2[[#This Row],[Valor_UnitarioXQtd]],TabelaVendas1__2[[#This Row],[Percentual_Lucro]])</f>
        <v>4600</v>
      </c>
      <c r="L356">
        <v>11500</v>
      </c>
      <c r="M356">
        <f>PRODUCT(TabelaVendas1__2[[#This Row],[Quantidade]],TabelaVendas1__2[[#This Row],[Valor_Unitario]])</f>
        <v>11500</v>
      </c>
      <c r="N356">
        <f>SUM(TabelaVendas1__2[[#This Row],[Valor_UnitarioXQtd]],TabelaVendas1__2[[#This Row],[Valor_Lucro]])</f>
        <v>16100</v>
      </c>
      <c r="O356" s="2" t="s">
        <v>55</v>
      </c>
    </row>
    <row r="357" spans="1:15">
      <c r="A357" t="s">
        <v>224</v>
      </c>
      <c r="B357" t="s">
        <v>22</v>
      </c>
      <c r="C357" t="s">
        <v>23</v>
      </c>
      <c r="D357" t="s">
        <v>54</v>
      </c>
      <c r="E357" s="1">
        <v>44956</v>
      </c>
      <c r="F357" t="s">
        <v>30</v>
      </c>
      <c r="G357" t="str">
        <f ca="1">VLOOKUP(RAND(),{0,"Lucas";0.39,"Roberto";0.63,"Carla";0.78,"Pedro";0.93,"Emilly"},2,TRUE)</f>
        <v>Lucas</v>
      </c>
      <c r="H357">
        <v>1</v>
      </c>
      <c r="I357">
        <v>3800</v>
      </c>
      <c r="J357">
        <v>0.4</v>
      </c>
      <c r="K357">
        <f>PRODUCT(TabelaVendas1__2[[#This Row],[Valor_UnitarioXQtd]],TabelaVendas1__2[[#This Row],[Percentual_Lucro]])</f>
        <v>1520</v>
      </c>
      <c r="L357">
        <v>3800</v>
      </c>
      <c r="M357">
        <f>PRODUCT(TabelaVendas1__2[[#This Row],[Quantidade]],TabelaVendas1__2[[#This Row],[Valor_Unitario]])</f>
        <v>3800</v>
      </c>
      <c r="N357">
        <f>SUM(TabelaVendas1__2[[#This Row],[Valor_UnitarioXQtd]],TabelaVendas1__2[[#This Row],[Valor_Lucro]])</f>
        <v>5320</v>
      </c>
      <c r="O357" s="2" t="s">
        <v>55</v>
      </c>
    </row>
    <row r="358" spans="1:15">
      <c r="A358" t="s">
        <v>82</v>
      </c>
      <c r="B358" t="s">
        <v>22</v>
      </c>
      <c r="C358" t="s">
        <v>23</v>
      </c>
      <c r="D358" t="s">
        <v>18</v>
      </c>
      <c r="E358" s="1">
        <v>44972</v>
      </c>
      <c r="F358" t="s">
        <v>19</v>
      </c>
      <c r="G358" t="str">
        <f ca="1">VLOOKUP(RAND(),{0,"Lucas";0.39,"Roberto";0.63,"Carla";0.78,"Pedro";0.93,"Emilly"},2,TRUE)</f>
        <v>Lucas</v>
      </c>
      <c r="H358">
        <v>1</v>
      </c>
      <c r="I358">
        <v>19000</v>
      </c>
      <c r="J358">
        <v>0.4</v>
      </c>
      <c r="K358">
        <f>PRODUCT(TabelaVendas1__2[[#This Row],[Valor_UnitarioXQtd]],TabelaVendas1__2[[#This Row],[Percentual_Lucro]])</f>
        <v>7600</v>
      </c>
      <c r="L358">
        <v>19000</v>
      </c>
      <c r="M358">
        <f>PRODUCT(TabelaVendas1__2[[#This Row],[Quantidade]],TabelaVendas1__2[[#This Row],[Valor_Unitario]])</f>
        <v>19000</v>
      </c>
      <c r="N358">
        <f>SUM(TabelaVendas1__2[[#This Row],[Valor_UnitarioXQtd]],TabelaVendas1__2[[#This Row],[Valor_Lucro]])</f>
        <v>26600</v>
      </c>
      <c r="O358" s="2" t="s">
        <v>20</v>
      </c>
    </row>
    <row r="359" spans="1:15">
      <c r="A359" t="s">
        <v>102</v>
      </c>
      <c r="B359" t="s">
        <v>22</v>
      </c>
      <c r="C359" t="s">
        <v>23</v>
      </c>
      <c r="D359" t="s">
        <v>75</v>
      </c>
      <c r="E359" s="1">
        <v>45013</v>
      </c>
      <c r="F359" t="s">
        <v>30</v>
      </c>
      <c r="G359" t="str">
        <f ca="1">VLOOKUP(RAND(),{0,"Lucas";0.39,"Roberto";0.63,"Carla";0.78,"Pedro";0.93,"Emilly"},2,TRUE)</f>
        <v>Emilly</v>
      </c>
      <c r="H359">
        <v>2</v>
      </c>
      <c r="I359">
        <v>1200</v>
      </c>
      <c r="J359">
        <v>0.4</v>
      </c>
      <c r="K359">
        <f>PRODUCT(TabelaVendas1__2[[#This Row],[Valor_UnitarioXQtd]],TabelaVendas1__2[[#This Row],[Percentual_Lucro]])</f>
        <v>960</v>
      </c>
      <c r="L359">
        <v>2400</v>
      </c>
      <c r="M359">
        <f>PRODUCT(TabelaVendas1__2[[#This Row],[Quantidade]],TabelaVendas1__2[[#This Row],[Valor_Unitario]])</f>
        <v>2400</v>
      </c>
      <c r="N359">
        <f>SUM(TabelaVendas1__2[[#This Row],[Valor_UnitarioXQtd]],TabelaVendas1__2[[#This Row],[Valor_Lucro]])</f>
        <v>3360</v>
      </c>
      <c r="O359" s="2" t="s">
        <v>76</v>
      </c>
    </row>
    <row r="360" spans="1:15">
      <c r="A360" t="s">
        <v>225</v>
      </c>
      <c r="B360" t="s">
        <v>22</v>
      </c>
      <c r="C360" t="s">
        <v>23</v>
      </c>
      <c r="D360" t="s">
        <v>18</v>
      </c>
      <c r="E360" s="1">
        <v>45013</v>
      </c>
      <c r="F360" t="s">
        <v>27</v>
      </c>
      <c r="G360" t="str">
        <f ca="1">VLOOKUP(RAND(),{0,"Lucas";0.39,"Roberto";0.63,"Carla";0.78,"Pedro";0.93,"Emilly"},2,TRUE)</f>
        <v>Lucas</v>
      </c>
      <c r="H360">
        <v>1</v>
      </c>
      <c r="I360">
        <v>2000</v>
      </c>
      <c r="J360">
        <v>0.4</v>
      </c>
      <c r="K360">
        <f>PRODUCT(TabelaVendas1__2[[#This Row],[Valor_UnitarioXQtd]],TabelaVendas1__2[[#This Row],[Percentual_Lucro]])</f>
        <v>800</v>
      </c>
      <c r="L360">
        <v>2000</v>
      </c>
      <c r="M360">
        <f>PRODUCT(TabelaVendas1__2[[#This Row],[Quantidade]],TabelaVendas1__2[[#This Row],[Valor_Unitario]])</f>
        <v>2000</v>
      </c>
      <c r="N360">
        <f>SUM(TabelaVendas1__2[[#This Row],[Valor_UnitarioXQtd]],TabelaVendas1__2[[#This Row],[Valor_Lucro]])</f>
        <v>2800</v>
      </c>
      <c r="O360" s="2" t="s">
        <v>20</v>
      </c>
    </row>
    <row r="361" spans="1:15">
      <c r="A361" t="s">
        <v>91</v>
      </c>
      <c r="B361" t="s">
        <v>22</v>
      </c>
      <c r="C361" t="s">
        <v>23</v>
      </c>
      <c r="D361" t="s">
        <v>18</v>
      </c>
      <c r="E361" s="1">
        <v>45013</v>
      </c>
      <c r="F361" t="s">
        <v>19</v>
      </c>
      <c r="G361" t="str">
        <f ca="1">VLOOKUP(RAND(),{0,"Lucas";0.39,"Roberto";0.63,"Carla";0.78,"Pedro";0.93,"Emilly"},2,TRUE)</f>
        <v>Lucas</v>
      </c>
      <c r="H361">
        <v>1</v>
      </c>
      <c r="I361">
        <v>7500</v>
      </c>
      <c r="J361">
        <v>0.4</v>
      </c>
      <c r="K361">
        <f>PRODUCT(TabelaVendas1__2[[#This Row],[Valor_UnitarioXQtd]],TabelaVendas1__2[[#This Row],[Percentual_Lucro]])</f>
        <v>3000</v>
      </c>
      <c r="L361">
        <v>7500</v>
      </c>
      <c r="M361">
        <f>PRODUCT(TabelaVendas1__2[[#This Row],[Quantidade]],TabelaVendas1__2[[#This Row],[Valor_Unitario]])</f>
        <v>7500</v>
      </c>
      <c r="N361">
        <f>SUM(TabelaVendas1__2[[#This Row],[Valor_UnitarioXQtd]],TabelaVendas1__2[[#This Row],[Valor_Lucro]])</f>
        <v>10500</v>
      </c>
      <c r="O361" s="2" t="s">
        <v>20</v>
      </c>
    </row>
    <row r="362" spans="1:15">
      <c r="A362" t="s">
        <v>93</v>
      </c>
      <c r="B362" t="s">
        <v>22</v>
      </c>
      <c r="C362" t="s">
        <v>23</v>
      </c>
      <c r="D362" t="s">
        <v>34</v>
      </c>
      <c r="E362" s="1">
        <v>45013</v>
      </c>
      <c r="F362" t="s">
        <v>27</v>
      </c>
      <c r="G362" t="str">
        <f ca="1">VLOOKUP(RAND(),{0,"Lucas";0.39,"Roberto";0.63,"Carla";0.78,"Pedro";0.93,"Emilly"},2,TRUE)</f>
        <v>Carla</v>
      </c>
      <c r="H362">
        <v>1</v>
      </c>
      <c r="I362">
        <v>2600</v>
      </c>
      <c r="J362">
        <v>0.4</v>
      </c>
      <c r="K362">
        <f>PRODUCT(TabelaVendas1__2[[#This Row],[Valor_UnitarioXQtd]],TabelaVendas1__2[[#This Row],[Percentual_Lucro]])</f>
        <v>1040</v>
      </c>
      <c r="L362">
        <v>2600</v>
      </c>
      <c r="M362">
        <f>PRODUCT(TabelaVendas1__2[[#This Row],[Quantidade]],TabelaVendas1__2[[#This Row],[Valor_Unitario]])</f>
        <v>2600</v>
      </c>
      <c r="N362">
        <f>SUM(TabelaVendas1__2[[#This Row],[Valor_UnitarioXQtd]],TabelaVendas1__2[[#This Row],[Valor_Lucro]])</f>
        <v>3640</v>
      </c>
      <c r="O362" s="2" t="s">
        <v>35</v>
      </c>
    </row>
    <row r="363" spans="1:15">
      <c r="A363" t="s">
        <v>226</v>
      </c>
      <c r="B363" t="s">
        <v>16</v>
      </c>
      <c r="C363" t="s">
        <v>17</v>
      </c>
      <c r="D363" t="s">
        <v>24</v>
      </c>
      <c r="E363" s="1">
        <v>45044</v>
      </c>
      <c r="F363" t="s">
        <v>30</v>
      </c>
      <c r="G363" t="str">
        <f ca="1">VLOOKUP(RAND(),{0,"Lucas";0.39,"Roberto";0.63,"Carla";0.78,"Pedro";0.93,"Emilly"},2,TRUE)</f>
        <v>Carla</v>
      </c>
      <c r="H363">
        <v>1</v>
      </c>
      <c r="I363">
        <v>8000</v>
      </c>
      <c r="J363">
        <v>0.4</v>
      </c>
      <c r="K363">
        <f>PRODUCT(TabelaVendas1__2[[#This Row],[Valor_UnitarioXQtd]],TabelaVendas1__2[[#This Row],[Percentual_Lucro]])</f>
        <v>3200</v>
      </c>
      <c r="L363">
        <v>8000</v>
      </c>
      <c r="M363">
        <f>PRODUCT(TabelaVendas1__2[[#This Row],[Quantidade]],TabelaVendas1__2[[#This Row],[Valor_Unitario]])</f>
        <v>8000</v>
      </c>
      <c r="N363">
        <f>SUM(TabelaVendas1__2[[#This Row],[Valor_UnitarioXQtd]],TabelaVendas1__2[[#This Row],[Valor_Lucro]])</f>
        <v>11200</v>
      </c>
      <c r="O363" s="2" t="s">
        <v>25</v>
      </c>
    </row>
    <row r="364" spans="1:15">
      <c r="A364" t="s">
        <v>227</v>
      </c>
      <c r="B364" t="s">
        <v>22</v>
      </c>
      <c r="C364" t="s">
        <v>33</v>
      </c>
      <c r="D364" t="s">
        <v>34</v>
      </c>
      <c r="E364" s="1">
        <v>45044</v>
      </c>
      <c r="F364" t="s">
        <v>27</v>
      </c>
      <c r="G364" t="str">
        <f ca="1">VLOOKUP(RAND(),{0,"Lucas";0.39,"Roberto";0.63,"Carla";0.78,"Pedro";0.93,"Emilly"},2,TRUE)</f>
        <v>Carla</v>
      </c>
      <c r="H364">
        <v>1</v>
      </c>
      <c r="I364">
        <v>10500</v>
      </c>
      <c r="J364">
        <v>0.4</v>
      </c>
      <c r="K364">
        <f>PRODUCT(TabelaVendas1__2[[#This Row],[Valor_UnitarioXQtd]],TabelaVendas1__2[[#This Row],[Percentual_Lucro]])</f>
        <v>4200</v>
      </c>
      <c r="L364">
        <v>10500</v>
      </c>
      <c r="M364">
        <f>PRODUCT(TabelaVendas1__2[[#This Row],[Quantidade]],TabelaVendas1__2[[#This Row],[Valor_Unitario]])</f>
        <v>10500</v>
      </c>
      <c r="N364">
        <f>SUM(TabelaVendas1__2[[#This Row],[Valor_UnitarioXQtd]],TabelaVendas1__2[[#This Row],[Valor_Lucro]])</f>
        <v>14700</v>
      </c>
      <c r="O364" s="2" t="s">
        <v>35</v>
      </c>
    </row>
    <row r="365" spans="1:15">
      <c r="A365" t="s">
        <v>66</v>
      </c>
      <c r="B365" t="s">
        <v>22</v>
      </c>
      <c r="C365" t="s">
        <v>23</v>
      </c>
      <c r="D365" t="s">
        <v>24</v>
      </c>
      <c r="E365" s="1">
        <v>45056</v>
      </c>
      <c r="F365" t="s">
        <v>27</v>
      </c>
      <c r="G365" t="str">
        <f ca="1">VLOOKUP(RAND(),{0,"Lucas";0.39,"Roberto";0.63,"Carla";0.78,"Pedro";0.93,"Emilly"},2,TRUE)</f>
        <v>Roberto</v>
      </c>
      <c r="H365">
        <v>1</v>
      </c>
      <c r="I365">
        <v>4550</v>
      </c>
      <c r="J365">
        <v>0.4</v>
      </c>
      <c r="K365">
        <f>PRODUCT(TabelaVendas1__2[[#This Row],[Valor_UnitarioXQtd]],TabelaVendas1__2[[#This Row],[Percentual_Lucro]])</f>
        <v>1820</v>
      </c>
      <c r="L365">
        <v>4550</v>
      </c>
      <c r="M365">
        <f>PRODUCT(TabelaVendas1__2[[#This Row],[Quantidade]],TabelaVendas1__2[[#This Row],[Valor_Unitario]])</f>
        <v>4550</v>
      </c>
      <c r="N365">
        <f>SUM(TabelaVendas1__2[[#This Row],[Valor_UnitarioXQtd]],TabelaVendas1__2[[#This Row],[Valor_Lucro]])</f>
        <v>6370</v>
      </c>
      <c r="O365" s="2" t="s">
        <v>25</v>
      </c>
    </row>
    <row r="366" spans="1:15">
      <c r="A366" t="s">
        <v>166</v>
      </c>
      <c r="B366" t="s">
        <v>22</v>
      </c>
      <c r="C366" t="s">
        <v>23</v>
      </c>
      <c r="D366" t="s">
        <v>18</v>
      </c>
      <c r="E366" s="1">
        <v>45056</v>
      </c>
      <c r="F366" t="s">
        <v>30</v>
      </c>
      <c r="G366" t="str">
        <f ca="1">VLOOKUP(RAND(),{0,"Lucas";0.39,"Roberto";0.63,"Carla";0.78,"Pedro";0.93,"Emilly"},2,TRUE)</f>
        <v>Lucas</v>
      </c>
      <c r="H366">
        <v>1</v>
      </c>
      <c r="I366">
        <v>3840</v>
      </c>
      <c r="J366">
        <v>0.4</v>
      </c>
      <c r="K366">
        <f>PRODUCT(TabelaVendas1__2[[#This Row],[Valor_UnitarioXQtd]],TabelaVendas1__2[[#This Row],[Percentual_Lucro]])</f>
        <v>1536</v>
      </c>
      <c r="L366">
        <v>3840</v>
      </c>
      <c r="M366">
        <f>PRODUCT(TabelaVendas1__2[[#This Row],[Quantidade]],TabelaVendas1__2[[#This Row],[Valor_Unitario]])</f>
        <v>3840</v>
      </c>
      <c r="N366">
        <f>SUM(TabelaVendas1__2[[#This Row],[Valor_UnitarioXQtd]],TabelaVendas1__2[[#This Row],[Valor_Lucro]])</f>
        <v>5376</v>
      </c>
      <c r="O366" s="2" t="s">
        <v>20</v>
      </c>
    </row>
    <row r="367" spans="1:15">
      <c r="A367" t="s">
        <v>144</v>
      </c>
      <c r="B367" t="s">
        <v>22</v>
      </c>
      <c r="C367" t="s">
        <v>23</v>
      </c>
      <c r="D367" t="s">
        <v>126</v>
      </c>
      <c r="E367" s="1">
        <v>45056</v>
      </c>
      <c r="F367" t="s">
        <v>30</v>
      </c>
      <c r="G367" t="str">
        <f ca="1">VLOOKUP(RAND(),{0,"Lucas";0.39,"Roberto";0.63,"Carla";0.78,"Pedro";0.93,"Emilly"},2,TRUE)</f>
        <v>Lucas</v>
      </c>
      <c r="H367">
        <v>1</v>
      </c>
      <c r="I367">
        <v>1900</v>
      </c>
      <c r="J367">
        <v>0.4</v>
      </c>
      <c r="K367">
        <f>PRODUCT(TabelaVendas1__2[[#This Row],[Valor_UnitarioXQtd]],TabelaVendas1__2[[#This Row],[Percentual_Lucro]])</f>
        <v>760</v>
      </c>
      <c r="L367">
        <v>1900</v>
      </c>
      <c r="M367">
        <f>PRODUCT(TabelaVendas1__2[[#This Row],[Quantidade]],TabelaVendas1__2[[#This Row],[Valor_Unitario]])</f>
        <v>1900</v>
      </c>
      <c r="N367">
        <f>SUM(TabelaVendas1__2[[#This Row],[Valor_UnitarioXQtd]],TabelaVendas1__2[[#This Row],[Valor_Lucro]])</f>
        <v>2660</v>
      </c>
      <c r="O367" s="2" t="s">
        <v>127</v>
      </c>
    </row>
    <row r="368" spans="1:15">
      <c r="A368" t="s">
        <v>120</v>
      </c>
      <c r="B368" t="s">
        <v>22</v>
      </c>
      <c r="C368" t="s">
        <v>23</v>
      </c>
      <c r="D368" t="s">
        <v>121</v>
      </c>
      <c r="E368" s="1">
        <v>45071</v>
      </c>
      <c r="F368" t="s">
        <v>27</v>
      </c>
      <c r="G368" t="str">
        <f ca="1">VLOOKUP(RAND(),{0,"Lucas";0.39,"Roberto";0.63,"Carla";0.78,"Pedro";0.93,"Emilly"},2,TRUE)</f>
        <v>Lucas</v>
      </c>
      <c r="H368">
        <v>1</v>
      </c>
      <c r="I368">
        <v>650</v>
      </c>
      <c r="J368">
        <v>0.4</v>
      </c>
      <c r="K368">
        <f>PRODUCT(TabelaVendas1__2[[#This Row],[Valor_UnitarioXQtd]],TabelaVendas1__2[[#This Row],[Percentual_Lucro]])</f>
        <v>260</v>
      </c>
      <c r="L368">
        <v>650</v>
      </c>
      <c r="M368">
        <f>PRODUCT(TabelaVendas1__2[[#This Row],[Quantidade]],TabelaVendas1__2[[#This Row],[Valor_Unitario]])</f>
        <v>650</v>
      </c>
      <c r="N368">
        <f>SUM(TabelaVendas1__2[[#This Row],[Valor_UnitarioXQtd]],TabelaVendas1__2[[#This Row],[Valor_Lucro]])</f>
        <v>910</v>
      </c>
      <c r="O368" s="2" t="s">
        <v>122</v>
      </c>
    </row>
    <row r="369" spans="1:15">
      <c r="A369" t="s">
        <v>198</v>
      </c>
      <c r="B369" t="s">
        <v>22</v>
      </c>
      <c r="C369" t="s">
        <v>23</v>
      </c>
      <c r="D369" t="s">
        <v>121</v>
      </c>
      <c r="E369" s="1">
        <v>45071</v>
      </c>
      <c r="F369" t="s">
        <v>19</v>
      </c>
      <c r="G369" t="str">
        <f ca="1">VLOOKUP(RAND(),{0,"Lucas";0.39,"Roberto";0.63,"Carla";0.78,"Pedro";0.93,"Emilly"},2,TRUE)</f>
        <v>Carla</v>
      </c>
      <c r="H369">
        <v>1</v>
      </c>
      <c r="I369">
        <v>260</v>
      </c>
      <c r="J369">
        <v>0.4</v>
      </c>
      <c r="K369">
        <f>PRODUCT(TabelaVendas1__2[[#This Row],[Valor_UnitarioXQtd]],TabelaVendas1__2[[#This Row],[Percentual_Lucro]])</f>
        <v>104</v>
      </c>
      <c r="L369">
        <v>260</v>
      </c>
      <c r="M369">
        <f>PRODUCT(TabelaVendas1__2[[#This Row],[Quantidade]],TabelaVendas1__2[[#This Row],[Valor_Unitario]])</f>
        <v>260</v>
      </c>
      <c r="N369">
        <f>SUM(TabelaVendas1__2[[#This Row],[Valor_UnitarioXQtd]],TabelaVendas1__2[[#This Row],[Valor_Lucro]])</f>
        <v>364</v>
      </c>
      <c r="O369" s="2" t="s">
        <v>122</v>
      </c>
    </row>
    <row r="370" spans="1:15">
      <c r="A370" t="s">
        <v>91</v>
      </c>
      <c r="B370" t="s">
        <v>22</v>
      </c>
      <c r="C370" t="s">
        <v>23</v>
      </c>
      <c r="D370" t="s">
        <v>18</v>
      </c>
      <c r="E370" s="1">
        <v>45071</v>
      </c>
      <c r="F370" t="s">
        <v>30</v>
      </c>
      <c r="G370" t="str">
        <f ca="1">VLOOKUP(RAND(),{0,"Lucas";0.39,"Roberto";0.63,"Carla";0.78,"Pedro";0.93,"Emilly"},2,TRUE)</f>
        <v>Lucas</v>
      </c>
      <c r="H370">
        <v>1</v>
      </c>
      <c r="I370">
        <v>3000</v>
      </c>
      <c r="J370">
        <v>0.4</v>
      </c>
      <c r="K370">
        <f>PRODUCT(TabelaVendas1__2[[#This Row],[Valor_UnitarioXQtd]],TabelaVendas1__2[[#This Row],[Percentual_Lucro]])</f>
        <v>1200</v>
      </c>
      <c r="L370">
        <v>3000</v>
      </c>
      <c r="M370">
        <f>PRODUCT(TabelaVendas1__2[[#This Row],[Quantidade]],TabelaVendas1__2[[#This Row],[Valor_Unitario]])</f>
        <v>3000</v>
      </c>
      <c r="N370">
        <f>SUM(TabelaVendas1__2[[#This Row],[Valor_UnitarioXQtd]],TabelaVendas1__2[[#This Row],[Valor_Lucro]])</f>
        <v>4200</v>
      </c>
      <c r="O370" s="2" t="s">
        <v>20</v>
      </c>
    </row>
    <row r="371" spans="1:15">
      <c r="A371" t="s">
        <v>182</v>
      </c>
      <c r="B371" t="s">
        <v>22</v>
      </c>
      <c r="C371" t="s">
        <v>23</v>
      </c>
      <c r="D371" t="s">
        <v>18</v>
      </c>
      <c r="E371" s="1">
        <v>45071</v>
      </c>
      <c r="F371" t="s">
        <v>30</v>
      </c>
      <c r="G371" t="str">
        <f ca="1">VLOOKUP(RAND(),{0,"Lucas";0.39,"Roberto";0.63,"Carla";0.78,"Pedro";0.93,"Emilly"},2,TRUE)</f>
        <v>Roberto</v>
      </c>
      <c r="H371">
        <v>1</v>
      </c>
      <c r="I371">
        <v>7200</v>
      </c>
      <c r="J371">
        <v>0.4</v>
      </c>
      <c r="K371">
        <f>PRODUCT(TabelaVendas1__2[[#This Row],[Valor_UnitarioXQtd]],TabelaVendas1__2[[#This Row],[Percentual_Lucro]])</f>
        <v>2880</v>
      </c>
      <c r="L371">
        <v>7200</v>
      </c>
      <c r="M371">
        <f>PRODUCT(TabelaVendas1__2[[#This Row],[Quantidade]],TabelaVendas1__2[[#This Row],[Valor_Unitario]])</f>
        <v>7200</v>
      </c>
      <c r="N371">
        <f>SUM(TabelaVendas1__2[[#This Row],[Valor_UnitarioXQtd]],TabelaVendas1__2[[#This Row],[Valor_Lucro]])</f>
        <v>10080</v>
      </c>
      <c r="O371" s="2" t="s">
        <v>20</v>
      </c>
    </row>
    <row r="372" spans="1:15">
      <c r="A372" t="s">
        <v>228</v>
      </c>
      <c r="B372" t="s">
        <v>22</v>
      </c>
      <c r="C372" t="s">
        <v>23</v>
      </c>
      <c r="D372" t="s">
        <v>126</v>
      </c>
      <c r="E372" s="1">
        <v>45071</v>
      </c>
      <c r="F372" t="s">
        <v>27</v>
      </c>
      <c r="G372" t="str">
        <f ca="1">VLOOKUP(RAND(),{0,"Lucas";0.39,"Roberto";0.63,"Carla";0.78,"Pedro";0.93,"Emilly"},2,TRUE)</f>
        <v>Roberto</v>
      </c>
      <c r="H372">
        <v>1</v>
      </c>
      <c r="I372">
        <v>3300</v>
      </c>
      <c r="J372">
        <v>0.4</v>
      </c>
      <c r="K372">
        <f>PRODUCT(TabelaVendas1__2[[#This Row],[Valor_UnitarioXQtd]],TabelaVendas1__2[[#This Row],[Percentual_Lucro]])</f>
        <v>1320</v>
      </c>
      <c r="L372">
        <v>3300</v>
      </c>
      <c r="M372">
        <f>PRODUCT(TabelaVendas1__2[[#This Row],[Quantidade]],TabelaVendas1__2[[#This Row],[Valor_Unitario]])</f>
        <v>3300</v>
      </c>
      <c r="N372">
        <f>SUM(TabelaVendas1__2[[#This Row],[Valor_UnitarioXQtd]],TabelaVendas1__2[[#This Row],[Valor_Lucro]])</f>
        <v>4620</v>
      </c>
      <c r="O372" s="2" t="s">
        <v>127</v>
      </c>
    </row>
    <row r="373" spans="1:15">
      <c r="A373" t="s">
        <v>144</v>
      </c>
      <c r="B373" t="s">
        <v>22</v>
      </c>
      <c r="C373" t="s">
        <v>23</v>
      </c>
      <c r="D373" t="s">
        <v>126</v>
      </c>
      <c r="E373" s="1">
        <v>45071</v>
      </c>
      <c r="F373" t="s">
        <v>27</v>
      </c>
      <c r="G373" t="str">
        <f ca="1">VLOOKUP(RAND(),{0,"Lucas";0.39,"Roberto";0.63,"Carla";0.78,"Pedro";0.93,"Emilly"},2,TRUE)</f>
        <v>Lucas</v>
      </c>
      <c r="H373">
        <v>1</v>
      </c>
      <c r="I373">
        <v>1150</v>
      </c>
      <c r="J373">
        <v>0.4</v>
      </c>
      <c r="K373">
        <f>PRODUCT(TabelaVendas1__2[[#This Row],[Valor_UnitarioXQtd]],TabelaVendas1__2[[#This Row],[Percentual_Lucro]])</f>
        <v>460</v>
      </c>
      <c r="L373">
        <v>1150</v>
      </c>
      <c r="M373">
        <f>PRODUCT(TabelaVendas1__2[[#This Row],[Quantidade]],TabelaVendas1__2[[#This Row],[Valor_Unitario]])</f>
        <v>1150</v>
      </c>
      <c r="N373">
        <f>SUM(TabelaVendas1__2[[#This Row],[Valor_UnitarioXQtd]],TabelaVendas1__2[[#This Row],[Valor_Lucro]])</f>
        <v>1610</v>
      </c>
      <c r="O373" s="2" t="s">
        <v>127</v>
      </c>
    </row>
    <row r="374" spans="1:15">
      <c r="A374" t="s">
        <v>226</v>
      </c>
      <c r="B374" t="s">
        <v>16</v>
      </c>
      <c r="C374" t="s">
        <v>17</v>
      </c>
      <c r="D374" t="s">
        <v>24</v>
      </c>
      <c r="E374" s="1">
        <v>45105</v>
      </c>
      <c r="F374" t="s">
        <v>27</v>
      </c>
      <c r="G374" t="str">
        <f ca="1">VLOOKUP(RAND(),{0,"Lucas";0.39,"Roberto";0.63,"Carla";0.78,"Pedro";0.93,"Emilly"},2,TRUE)</f>
        <v>Pedro</v>
      </c>
      <c r="H374">
        <v>1</v>
      </c>
      <c r="I374">
        <v>10100</v>
      </c>
      <c r="J374">
        <v>0.4</v>
      </c>
      <c r="K374">
        <f>PRODUCT(TabelaVendas1__2[[#This Row],[Valor_UnitarioXQtd]],TabelaVendas1__2[[#This Row],[Percentual_Lucro]])</f>
        <v>4040</v>
      </c>
      <c r="L374">
        <v>10100</v>
      </c>
      <c r="M374">
        <f>PRODUCT(TabelaVendas1__2[[#This Row],[Quantidade]],TabelaVendas1__2[[#This Row],[Valor_Unitario]])</f>
        <v>10100</v>
      </c>
      <c r="N374">
        <f>SUM(TabelaVendas1__2[[#This Row],[Valor_UnitarioXQtd]],TabelaVendas1__2[[#This Row],[Valor_Lucro]])</f>
        <v>14140</v>
      </c>
      <c r="O374" s="2" t="s">
        <v>25</v>
      </c>
    </row>
    <row r="375" spans="1:15">
      <c r="A375" t="s">
        <v>225</v>
      </c>
      <c r="B375" t="s">
        <v>22</v>
      </c>
      <c r="C375" t="s">
        <v>23</v>
      </c>
      <c r="D375" t="s">
        <v>18</v>
      </c>
      <c r="E375" s="1">
        <v>45105</v>
      </c>
      <c r="F375" t="s">
        <v>19</v>
      </c>
      <c r="G375" t="str">
        <f ca="1">VLOOKUP(RAND(),{0,"Lucas";0.39,"Roberto";0.63,"Carla";0.78,"Pedro";0.93,"Emilly"},2,TRUE)</f>
        <v>Lucas</v>
      </c>
      <c r="H375">
        <v>2</v>
      </c>
      <c r="I375">
        <v>2600</v>
      </c>
      <c r="J375">
        <v>0.4</v>
      </c>
      <c r="K375">
        <f>PRODUCT(TabelaVendas1__2[[#This Row],[Valor_UnitarioXQtd]],TabelaVendas1__2[[#This Row],[Percentual_Lucro]])</f>
        <v>2080</v>
      </c>
      <c r="L375">
        <v>5200</v>
      </c>
      <c r="M375">
        <f>PRODUCT(TabelaVendas1__2[[#This Row],[Quantidade]],TabelaVendas1__2[[#This Row],[Valor_Unitario]])</f>
        <v>5200</v>
      </c>
      <c r="N375">
        <f>SUM(TabelaVendas1__2[[#This Row],[Valor_UnitarioXQtd]],TabelaVendas1__2[[#This Row],[Valor_Lucro]])</f>
        <v>7280</v>
      </c>
      <c r="O375" s="2" t="s">
        <v>20</v>
      </c>
    </row>
    <row r="376" spans="1:15">
      <c r="A376" t="s">
        <v>199</v>
      </c>
      <c r="B376" t="s">
        <v>22</v>
      </c>
      <c r="C376" t="s">
        <v>23</v>
      </c>
      <c r="D376" t="s">
        <v>126</v>
      </c>
      <c r="E376" s="1">
        <v>45105</v>
      </c>
      <c r="F376" t="s">
        <v>30</v>
      </c>
      <c r="G376" t="str">
        <f ca="1">VLOOKUP(RAND(),{0,"Lucas";0.39,"Roberto";0.63,"Carla";0.78,"Pedro";0.93,"Emilly"},2,TRUE)</f>
        <v>Lucas</v>
      </c>
      <c r="H376">
        <v>2</v>
      </c>
      <c r="I376">
        <v>640</v>
      </c>
      <c r="J376">
        <v>0.4</v>
      </c>
      <c r="K376">
        <f>PRODUCT(TabelaVendas1__2[[#This Row],[Valor_UnitarioXQtd]],TabelaVendas1__2[[#This Row],[Percentual_Lucro]])</f>
        <v>512</v>
      </c>
      <c r="L376">
        <v>1280</v>
      </c>
      <c r="M376">
        <f>PRODUCT(TabelaVendas1__2[[#This Row],[Quantidade]],TabelaVendas1__2[[#This Row],[Valor_Unitario]])</f>
        <v>1280</v>
      </c>
      <c r="N376">
        <f>SUM(TabelaVendas1__2[[#This Row],[Valor_UnitarioXQtd]],TabelaVendas1__2[[#This Row],[Valor_Lucro]])</f>
        <v>1792</v>
      </c>
      <c r="O376" s="2" t="s">
        <v>127</v>
      </c>
    </row>
    <row r="377" spans="1:15">
      <c r="A377" t="s">
        <v>229</v>
      </c>
      <c r="B377" t="s">
        <v>22</v>
      </c>
      <c r="C377" t="s">
        <v>23</v>
      </c>
      <c r="D377" t="s">
        <v>42</v>
      </c>
      <c r="E377" s="1">
        <v>45134</v>
      </c>
      <c r="F377" t="s">
        <v>27</v>
      </c>
      <c r="G377" t="str">
        <f ca="1">VLOOKUP(RAND(),{0,"Lucas";0.39,"Roberto";0.63,"Carla";0.78,"Pedro";0.93,"Emilly"},2,TRUE)</f>
        <v>Carla</v>
      </c>
      <c r="H377">
        <v>1</v>
      </c>
      <c r="I377">
        <v>2600</v>
      </c>
      <c r="J377">
        <v>0.4</v>
      </c>
      <c r="K377">
        <f>PRODUCT(TabelaVendas1__2[[#This Row],[Valor_UnitarioXQtd]],TabelaVendas1__2[[#This Row],[Percentual_Lucro]])</f>
        <v>1040</v>
      </c>
      <c r="L377">
        <v>2600</v>
      </c>
      <c r="M377">
        <f>PRODUCT(TabelaVendas1__2[[#This Row],[Quantidade]],TabelaVendas1__2[[#This Row],[Valor_Unitario]])</f>
        <v>2600</v>
      </c>
      <c r="N377">
        <f>SUM(TabelaVendas1__2[[#This Row],[Valor_UnitarioXQtd]],TabelaVendas1__2[[#This Row],[Valor_Lucro]])</f>
        <v>3640</v>
      </c>
      <c r="O377" s="2" t="s">
        <v>43</v>
      </c>
    </row>
    <row r="378" spans="1:15">
      <c r="A378" t="s">
        <v>230</v>
      </c>
      <c r="B378" t="s">
        <v>22</v>
      </c>
      <c r="C378" t="s">
        <v>23</v>
      </c>
      <c r="D378" t="s">
        <v>42</v>
      </c>
      <c r="E378" s="1">
        <v>45134</v>
      </c>
      <c r="F378" t="s">
        <v>30</v>
      </c>
      <c r="G378" t="str">
        <f ca="1">VLOOKUP(RAND(),{0,"Lucas";0.39,"Roberto";0.63,"Carla";0.78,"Pedro";0.93,"Emilly"},2,TRUE)</f>
        <v>Lucas</v>
      </c>
      <c r="H378">
        <v>1</v>
      </c>
      <c r="I378">
        <v>2800</v>
      </c>
      <c r="J378">
        <v>0.4</v>
      </c>
      <c r="K378">
        <f>PRODUCT(TabelaVendas1__2[[#This Row],[Valor_UnitarioXQtd]],TabelaVendas1__2[[#This Row],[Percentual_Lucro]])</f>
        <v>1120</v>
      </c>
      <c r="L378">
        <v>2800</v>
      </c>
      <c r="M378">
        <f>PRODUCT(TabelaVendas1__2[[#This Row],[Quantidade]],TabelaVendas1__2[[#This Row],[Valor_Unitario]])</f>
        <v>2800</v>
      </c>
      <c r="N378">
        <f>SUM(TabelaVendas1__2[[#This Row],[Valor_UnitarioXQtd]],TabelaVendas1__2[[#This Row],[Valor_Lucro]])</f>
        <v>3920</v>
      </c>
      <c r="O378" s="2" t="s">
        <v>43</v>
      </c>
    </row>
    <row r="379" spans="1:15">
      <c r="A379" t="s">
        <v>231</v>
      </c>
      <c r="B379" t="s">
        <v>22</v>
      </c>
      <c r="C379" t="s">
        <v>23</v>
      </c>
      <c r="D379" t="s">
        <v>121</v>
      </c>
      <c r="E379" s="1">
        <v>45134</v>
      </c>
      <c r="F379" t="s">
        <v>27</v>
      </c>
      <c r="G379" t="str">
        <f ca="1">VLOOKUP(RAND(),{0,"Lucas";0.39,"Roberto";0.63,"Carla";0.78,"Pedro";0.93,"Emilly"},2,TRUE)</f>
        <v>Pedro</v>
      </c>
      <c r="H379">
        <v>1</v>
      </c>
      <c r="I379">
        <v>850</v>
      </c>
      <c r="J379">
        <v>0.4</v>
      </c>
      <c r="K379">
        <f>PRODUCT(TabelaVendas1__2[[#This Row],[Valor_UnitarioXQtd]],TabelaVendas1__2[[#This Row],[Percentual_Lucro]])</f>
        <v>340</v>
      </c>
      <c r="L379">
        <v>850</v>
      </c>
      <c r="M379">
        <f>PRODUCT(TabelaVendas1__2[[#This Row],[Quantidade]],TabelaVendas1__2[[#This Row],[Valor_Unitario]])</f>
        <v>850</v>
      </c>
      <c r="N379">
        <f>SUM(TabelaVendas1__2[[#This Row],[Valor_UnitarioXQtd]],TabelaVendas1__2[[#This Row],[Valor_Lucro]])</f>
        <v>1190</v>
      </c>
      <c r="O379" s="2" t="s">
        <v>122</v>
      </c>
    </row>
    <row r="380" spans="1:15">
      <c r="A380" t="s">
        <v>232</v>
      </c>
      <c r="B380" t="s">
        <v>22</v>
      </c>
      <c r="C380" t="s">
        <v>23</v>
      </c>
      <c r="D380" t="s">
        <v>121</v>
      </c>
      <c r="E380" s="1">
        <v>45134</v>
      </c>
      <c r="F380" t="s">
        <v>19</v>
      </c>
      <c r="G380" t="str">
        <f ca="1">VLOOKUP(RAND(),{0,"Lucas";0.39,"Roberto";0.63,"Carla";0.78,"Pedro";0.93,"Emilly"},2,TRUE)</f>
        <v>Emilly</v>
      </c>
      <c r="H380">
        <v>1</v>
      </c>
      <c r="I380">
        <v>920</v>
      </c>
      <c r="J380">
        <v>0.4</v>
      </c>
      <c r="K380">
        <f>PRODUCT(TabelaVendas1__2[[#This Row],[Valor_UnitarioXQtd]],TabelaVendas1__2[[#This Row],[Percentual_Lucro]])</f>
        <v>368</v>
      </c>
      <c r="L380">
        <v>920</v>
      </c>
      <c r="M380">
        <f>PRODUCT(TabelaVendas1__2[[#This Row],[Quantidade]],TabelaVendas1__2[[#This Row],[Valor_Unitario]])</f>
        <v>920</v>
      </c>
      <c r="N380">
        <f>SUM(TabelaVendas1__2[[#This Row],[Valor_UnitarioXQtd]],TabelaVendas1__2[[#This Row],[Valor_Lucro]])</f>
        <v>1288</v>
      </c>
      <c r="O380" s="2" t="s">
        <v>122</v>
      </c>
    </row>
    <row r="381" spans="1:15">
      <c r="A381" t="s">
        <v>120</v>
      </c>
      <c r="B381" t="s">
        <v>51</v>
      </c>
      <c r="C381" t="s">
        <v>17</v>
      </c>
      <c r="D381" t="s">
        <v>121</v>
      </c>
      <c r="E381" s="1">
        <v>45134</v>
      </c>
      <c r="F381" t="s">
        <v>27</v>
      </c>
      <c r="G381" t="str">
        <f ca="1">VLOOKUP(RAND(),{0,"Lucas";0.39,"Roberto";0.63,"Carla";0.78,"Pedro";0.93,"Emilly"},2,TRUE)</f>
        <v>Lucas</v>
      </c>
      <c r="H381">
        <v>1</v>
      </c>
      <c r="I381">
        <v>1250</v>
      </c>
      <c r="J381">
        <v>0.4</v>
      </c>
      <c r="K381">
        <f>PRODUCT(TabelaVendas1__2[[#This Row],[Valor_UnitarioXQtd]],TabelaVendas1__2[[#This Row],[Percentual_Lucro]])</f>
        <v>500</v>
      </c>
      <c r="L381">
        <v>1250</v>
      </c>
      <c r="M381">
        <f>PRODUCT(TabelaVendas1__2[[#This Row],[Quantidade]],TabelaVendas1__2[[#This Row],[Valor_Unitario]])</f>
        <v>1250</v>
      </c>
      <c r="N381">
        <f>SUM(TabelaVendas1__2[[#This Row],[Valor_UnitarioXQtd]],TabelaVendas1__2[[#This Row],[Valor_Lucro]])</f>
        <v>1750</v>
      </c>
      <c r="O381" s="2" t="s">
        <v>122</v>
      </c>
    </row>
    <row r="382" spans="1:15">
      <c r="A382" t="s">
        <v>233</v>
      </c>
      <c r="B382" t="s">
        <v>22</v>
      </c>
      <c r="C382" t="s">
        <v>23</v>
      </c>
      <c r="D382" t="s">
        <v>97</v>
      </c>
      <c r="E382" s="1">
        <v>45134</v>
      </c>
      <c r="F382" t="s">
        <v>27</v>
      </c>
      <c r="G382" t="str">
        <f ca="1">VLOOKUP(RAND(),{0,"Lucas";0.39,"Roberto";0.63,"Carla";0.78,"Pedro";0.93,"Emilly"},2,TRUE)</f>
        <v>Lucas</v>
      </c>
      <c r="H382">
        <v>1</v>
      </c>
      <c r="I382">
        <v>330</v>
      </c>
      <c r="J382">
        <v>0.4</v>
      </c>
      <c r="K382">
        <f>PRODUCT(TabelaVendas1__2[[#This Row],[Valor_UnitarioXQtd]],TabelaVendas1__2[[#This Row],[Percentual_Lucro]])</f>
        <v>132</v>
      </c>
      <c r="L382">
        <v>330</v>
      </c>
      <c r="M382">
        <f>PRODUCT(TabelaVendas1__2[[#This Row],[Quantidade]],TabelaVendas1__2[[#This Row],[Valor_Unitario]])</f>
        <v>330</v>
      </c>
      <c r="N382">
        <f>SUM(TabelaVendas1__2[[#This Row],[Valor_UnitarioXQtd]],TabelaVendas1__2[[#This Row],[Valor_Lucro]])</f>
        <v>462</v>
      </c>
      <c r="O382" s="2" t="s">
        <v>98</v>
      </c>
    </row>
    <row r="383" spans="1:15">
      <c r="A383" t="s">
        <v>234</v>
      </c>
      <c r="B383" t="s">
        <v>22</v>
      </c>
      <c r="C383" t="s">
        <v>23</v>
      </c>
      <c r="D383" t="s">
        <v>97</v>
      </c>
      <c r="E383" s="1">
        <v>45134</v>
      </c>
      <c r="F383" t="s">
        <v>30</v>
      </c>
      <c r="G383" t="str">
        <f ca="1">VLOOKUP(RAND(),{0,"Lucas";0.39,"Roberto";0.63,"Carla";0.78,"Pedro";0.93,"Emilly"},2,TRUE)</f>
        <v>Lucas</v>
      </c>
      <c r="H383">
        <v>1</v>
      </c>
      <c r="I383">
        <v>650</v>
      </c>
      <c r="J383">
        <v>0.4</v>
      </c>
      <c r="K383">
        <f>PRODUCT(TabelaVendas1__2[[#This Row],[Valor_UnitarioXQtd]],TabelaVendas1__2[[#This Row],[Percentual_Lucro]])</f>
        <v>260</v>
      </c>
      <c r="L383">
        <v>650</v>
      </c>
      <c r="M383">
        <f>PRODUCT(TabelaVendas1__2[[#This Row],[Quantidade]],TabelaVendas1__2[[#This Row],[Valor_Unitario]])</f>
        <v>650</v>
      </c>
      <c r="N383">
        <f>SUM(TabelaVendas1__2[[#This Row],[Valor_UnitarioXQtd]],TabelaVendas1__2[[#This Row],[Valor_Lucro]])</f>
        <v>910</v>
      </c>
      <c r="O383" s="2" t="s">
        <v>98</v>
      </c>
    </row>
    <row r="384" spans="1:15">
      <c r="A384" t="s">
        <v>235</v>
      </c>
      <c r="B384" t="s">
        <v>22</v>
      </c>
      <c r="C384" t="s">
        <v>23</v>
      </c>
      <c r="D384" t="s">
        <v>97</v>
      </c>
      <c r="E384" s="1">
        <v>45134</v>
      </c>
      <c r="F384" t="s">
        <v>27</v>
      </c>
      <c r="G384" t="str">
        <f ca="1">VLOOKUP(RAND(),{0,"Lucas";0.39,"Roberto";0.63,"Carla";0.78,"Pedro";0.93,"Emilly"},2,TRUE)</f>
        <v>Carla</v>
      </c>
      <c r="H384">
        <v>1</v>
      </c>
      <c r="I384">
        <v>255</v>
      </c>
      <c r="J384">
        <v>0.4</v>
      </c>
      <c r="K384">
        <f>PRODUCT(TabelaVendas1__2[[#This Row],[Valor_UnitarioXQtd]],TabelaVendas1__2[[#This Row],[Percentual_Lucro]])</f>
        <v>102</v>
      </c>
      <c r="L384">
        <v>255</v>
      </c>
      <c r="M384">
        <f>PRODUCT(TabelaVendas1__2[[#This Row],[Quantidade]],TabelaVendas1__2[[#This Row],[Valor_Unitario]])</f>
        <v>255</v>
      </c>
      <c r="N384">
        <f>SUM(TabelaVendas1__2[[#This Row],[Valor_UnitarioXQtd]],TabelaVendas1__2[[#This Row],[Valor_Lucro]])</f>
        <v>357</v>
      </c>
      <c r="O384" s="2" t="s">
        <v>98</v>
      </c>
    </row>
    <row r="385" spans="1:15">
      <c r="A385" t="s">
        <v>236</v>
      </c>
      <c r="B385" t="s">
        <v>22</v>
      </c>
      <c r="C385" t="s">
        <v>23</v>
      </c>
      <c r="D385" t="s">
        <v>18</v>
      </c>
      <c r="E385" s="1">
        <v>45134</v>
      </c>
      <c r="F385" t="s">
        <v>27</v>
      </c>
      <c r="G385" t="str">
        <f ca="1">VLOOKUP(RAND(),{0,"Lucas";0.39,"Roberto";0.63,"Carla";0.78,"Pedro";0.93,"Emilly"},2,TRUE)</f>
        <v>Lucas</v>
      </c>
      <c r="H385">
        <v>1</v>
      </c>
      <c r="I385">
        <v>865</v>
      </c>
      <c r="J385">
        <v>0.4</v>
      </c>
      <c r="K385">
        <f>PRODUCT(TabelaVendas1__2[[#This Row],[Valor_UnitarioXQtd]],TabelaVendas1__2[[#This Row],[Percentual_Lucro]])</f>
        <v>346</v>
      </c>
      <c r="L385">
        <v>865</v>
      </c>
      <c r="M385">
        <f>PRODUCT(TabelaVendas1__2[[#This Row],[Quantidade]],TabelaVendas1__2[[#This Row],[Valor_Unitario]])</f>
        <v>865</v>
      </c>
      <c r="N385">
        <f>SUM(TabelaVendas1__2[[#This Row],[Valor_UnitarioXQtd]],TabelaVendas1__2[[#This Row],[Valor_Lucro]])</f>
        <v>1211</v>
      </c>
      <c r="O385" s="2" t="s">
        <v>20</v>
      </c>
    </row>
    <row r="386" spans="1:15">
      <c r="A386" t="s">
        <v>93</v>
      </c>
      <c r="B386" t="s">
        <v>22</v>
      </c>
      <c r="C386" t="s">
        <v>23</v>
      </c>
      <c r="D386" t="s">
        <v>34</v>
      </c>
      <c r="E386" s="1">
        <v>45134</v>
      </c>
      <c r="F386" t="s">
        <v>19</v>
      </c>
      <c r="G386" t="str">
        <f ca="1">VLOOKUP(RAND(),{0,"Lucas";0.39,"Roberto";0.63,"Carla";0.78,"Pedro";0.93,"Emilly"},2,TRUE)</f>
        <v>Roberto</v>
      </c>
      <c r="H386">
        <v>1</v>
      </c>
      <c r="I386">
        <v>3750</v>
      </c>
      <c r="J386">
        <v>0.4</v>
      </c>
      <c r="K386">
        <f>PRODUCT(TabelaVendas1__2[[#This Row],[Valor_UnitarioXQtd]],TabelaVendas1__2[[#This Row],[Percentual_Lucro]])</f>
        <v>1500</v>
      </c>
      <c r="L386">
        <v>3750</v>
      </c>
      <c r="M386">
        <f>PRODUCT(TabelaVendas1__2[[#This Row],[Quantidade]],TabelaVendas1__2[[#This Row],[Valor_Unitario]])</f>
        <v>3750</v>
      </c>
      <c r="N386">
        <f>SUM(TabelaVendas1__2[[#This Row],[Valor_UnitarioXQtd]],TabelaVendas1__2[[#This Row],[Valor_Lucro]])</f>
        <v>5250</v>
      </c>
      <c r="O386" s="2" t="s">
        <v>35</v>
      </c>
    </row>
    <row r="387" spans="1:15">
      <c r="A387" t="s">
        <v>181</v>
      </c>
      <c r="B387" t="s">
        <v>22</v>
      </c>
      <c r="C387" t="s">
        <v>23</v>
      </c>
      <c r="D387" t="s">
        <v>34</v>
      </c>
      <c r="E387" s="1">
        <v>45134</v>
      </c>
      <c r="F387" t="s">
        <v>27</v>
      </c>
      <c r="G387" t="str">
        <f ca="1">VLOOKUP(RAND(),{0,"Lucas";0.39,"Roberto";0.63,"Carla";0.78,"Pedro";0.93,"Emilly"},2,TRUE)</f>
        <v>Carla</v>
      </c>
      <c r="H387">
        <v>1</v>
      </c>
      <c r="I387">
        <v>1150</v>
      </c>
      <c r="J387">
        <v>0.4</v>
      </c>
      <c r="K387">
        <f>PRODUCT(TabelaVendas1__2[[#This Row],[Valor_UnitarioXQtd]],TabelaVendas1__2[[#This Row],[Percentual_Lucro]])</f>
        <v>460</v>
      </c>
      <c r="L387">
        <v>1150</v>
      </c>
      <c r="M387">
        <f>PRODUCT(TabelaVendas1__2[[#This Row],[Quantidade]],TabelaVendas1__2[[#This Row],[Valor_Unitario]])</f>
        <v>1150</v>
      </c>
      <c r="N387">
        <f>SUM(TabelaVendas1__2[[#This Row],[Valor_UnitarioXQtd]],TabelaVendas1__2[[#This Row],[Valor_Lucro]])</f>
        <v>1610</v>
      </c>
      <c r="O387" s="2" t="s">
        <v>35</v>
      </c>
    </row>
    <row r="388" spans="1:15">
      <c r="A388" t="s">
        <v>237</v>
      </c>
      <c r="B388" t="s">
        <v>22</v>
      </c>
      <c r="C388" t="s">
        <v>23</v>
      </c>
      <c r="D388" t="s">
        <v>18</v>
      </c>
      <c r="E388" s="1">
        <v>45168</v>
      </c>
      <c r="F388" t="s">
        <v>19</v>
      </c>
      <c r="G388" t="str">
        <f ca="1">VLOOKUP(RAND(),{0,"Lucas";0.39,"Roberto";0.63,"Carla";0.78,"Pedro";0.93,"Emilly"},2,TRUE)</f>
        <v>Carla</v>
      </c>
      <c r="H388">
        <v>1</v>
      </c>
      <c r="I388">
        <v>2550</v>
      </c>
      <c r="J388">
        <v>0.4</v>
      </c>
      <c r="K388">
        <f>PRODUCT(TabelaVendas1__2[[#This Row],[Valor_UnitarioXQtd]],TabelaVendas1__2[[#This Row],[Percentual_Lucro]])</f>
        <v>1020</v>
      </c>
      <c r="L388">
        <v>2550</v>
      </c>
      <c r="M388">
        <f>PRODUCT(TabelaVendas1__2[[#This Row],[Quantidade]],TabelaVendas1__2[[#This Row],[Valor_Unitario]])</f>
        <v>2550</v>
      </c>
      <c r="N388">
        <f>SUM(TabelaVendas1__2[[#This Row],[Valor_UnitarioXQtd]],TabelaVendas1__2[[#This Row],[Valor_Lucro]])</f>
        <v>3570</v>
      </c>
      <c r="O388" s="2" t="s">
        <v>20</v>
      </c>
    </row>
    <row r="389" spans="1:15">
      <c r="A389" t="s">
        <v>238</v>
      </c>
      <c r="B389" t="s">
        <v>16</v>
      </c>
      <c r="C389" t="s">
        <v>17</v>
      </c>
      <c r="D389" t="s">
        <v>54</v>
      </c>
      <c r="E389" s="1">
        <v>45168</v>
      </c>
      <c r="F389" t="s">
        <v>19</v>
      </c>
      <c r="G389" t="str">
        <f ca="1">VLOOKUP(RAND(),{0,"Lucas";0.39,"Roberto";0.63,"Carla";0.78,"Pedro";0.93,"Emilly"},2,TRUE)</f>
        <v>Lucas</v>
      </c>
      <c r="H389">
        <v>1</v>
      </c>
      <c r="I389">
        <v>5150</v>
      </c>
      <c r="J389">
        <v>0.4</v>
      </c>
      <c r="K389">
        <f>PRODUCT(TabelaVendas1__2[[#This Row],[Valor_UnitarioXQtd]],TabelaVendas1__2[[#This Row],[Percentual_Lucro]])</f>
        <v>2060</v>
      </c>
      <c r="L389">
        <v>5150</v>
      </c>
      <c r="M389">
        <f>PRODUCT(TabelaVendas1__2[[#This Row],[Quantidade]],TabelaVendas1__2[[#This Row],[Valor_Unitario]])</f>
        <v>5150</v>
      </c>
      <c r="N389">
        <f>SUM(TabelaVendas1__2[[#This Row],[Valor_UnitarioXQtd]],TabelaVendas1__2[[#This Row],[Valor_Lucro]])</f>
        <v>7210</v>
      </c>
      <c r="O389" s="2" t="s">
        <v>55</v>
      </c>
    </row>
    <row r="390" spans="1:15">
      <c r="A390" t="s">
        <v>239</v>
      </c>
      <c r="B390" t="s">
        <v>51</v>
      </c>
      <c r="C390" t="s">
        <v>17</v>
      </c>
      <c r="D390" t="s">
        <v>54</v>
      </c>
      <c r="E390" s="1">
        <v>45168</v>
      </c>
      <c r="F390" t="s">
        <v>30</v>
      </c>
      <c r="G390" t="str">
        <f ca="1">VLOOKUP(RAND(),{0,"Lucas";0.39,"Roberto";0.63,"Carla";0.78,"Pedro";0.93,"Emilly"},2,TRUE)</f>
        <v>Lucas</v>
      </c>
      <c r="H390">
        <v>1</v>
      </c>
      <c r="I390">
        <v>7700</v>
      </c>
      <c r="J390">
        <v>0.4</v>
      </c>
      <c r="K390">
        <f>PRODUCT(TabelaVendas1__2[[#This Row],[Valor_UnitarioXQtd]],TabelaVendas1__2[[#This Row],[Percentual_Lucro]])</f>
        <v>3080</v>
      </c>
      <c r="L390">
        <v>7700</v>
      </c>
      <c r="M390">
        <f>PRODUCT(TabelaVendas1__2[[#This Row],[Quantidade]],TabelaVendas1__2[[#This Row],[Valor_Unitario]])</f>
        <v>7700</v>
      </c>
      <c r="N390">
        <f>SUM(TabelaVendas1__2[[#This Row],[Valor_UnitarioXQtd]],TabelaVendas1__2[[#This Row],[Valor_Lucro]])</f>
        <v>10780</v>
      </c>
      <c r="O390" s="2" t="s">
        <v>55</v>
      </c>
    </row>
    <row r="391" spans="1:15">
      <c r="A391" t="s">
        <v>240</v>
      </c>
      <c r="B391" t="s">
        <v>22</v>
      </c>
      <c r="C391" t="s">
        <v>23</v>
      </c>
      <c r="D391" t="s">
        <v>75</v>
      </c>
      <c r="E391" s="1">
        <v>45168</v>
      </c>
      <c r="F391" t="s">
        <v>30</v>
      </c>
      <c r="G391" t="str">
        <f ca="1">VLOOKUP(RAND(),{0,"Lucas";0.39,"Roberto";0.63,"Carla";0.78,"Pedro";0.93,"Emilly"},2,TRUE)</f>
        <v>Carla</v>
      </c>
      <c r="H391">
        <v>1</v>
      </c>
      <c r="I391">
        <v>1950</v>
      </c>
      <c r="J391">
        <v>0.4</v>
      </c>
      <c r="K391">
        <f>PRODUCT(TabelaVendas1__2[[#This Row],[Valor_UnitarioXQtd]],TabelaVendas1__2[[#This Row],[Percentual_Lucro]])</f>
        <v>780</v>
      </c>
      <c r="L391">
        <v>1950</v>
      </c>
      <c r="M391">
        <f>PRODUCT(TabelaVendas1__2[[#This Row],[Quantidade]],TabelaVendas1__2[[#This Row],[Valor_Unitario]])</f>
        <v>1950</v>
      </c>
      <c r="N391">
        <f>SUM(TabelaVendas1__2[[#This Row],[Valor_UnitarioXQtd]],TabelaVendas1__2[[#This Row],[Valor_Lucro]])</f>
        <v>2730</v>
      </c>
      <c r="O391" s="2" t="s">
        <v>76</v>
      </c>
    </row>
    <row r="392" spans="1:15">
      <c r="A392" t="s">
        <v>67</v>
      </c>
      <c r="B392" t="s">
        <v>22</v>
      </c>
      <c r="C392" t="s">
        <v>23</v>
      </c>
      <c r="D392" t="s">
        <v>18</v>
      </c>
      <c r="E392" s="1">
        <v>45198</v>
      </c>
      <c r="F392" t="s">
        <v>27</v>
      </c>
      <c r="G392" t="str">
        <f ca="1">VLOOKUP(RAND(),{0,"Lucas";0.39,"Roberto";0.63,"Carla";0.78,"Pedro";0.93,"Emilly"},2,TRUE)</f>
        <v>Roberto</v>
      </c>
      <c r="H392">
        <v>1</v>
      </c>
      <c r="I392">
        <v>4000</v>
      </c>
      <c r="J392">
        <v>0.4</v>
      </c>
      <c r="K392">
        <f>PRODUCT(TabelaVendas1__2[[#This Row],[Valor_UnitarioXQtd]],TabelaVendas1__2[[#This Row],[Percentual_Lucro]])</f>
        <v>1600</v>
      </c>
      <c r="L392">
        <v>4000</v>
      </c>
      <c r="M392">
        <f>PRODUCT(TabelaVendas1__2[[#This Row],[Quantidade]],TabelaVendas1__2[[#This Row],[Valor_Unitario]])</f>
        <v>4000</v>
      </c>
      <c r="N392">
        <f>SUM(TabelaVendas1__2[[#This Row],[Valor_UnitarioXQtd]],TabelaVendas1__2[[#This Row],[Valor_Lucro]])</f>
        <v>5600</v>
      </c>
      <c r="O392" s="2" t="s">
        <v>20</v>
      </c>
    </row>
    <row r="393" spans="1:15">
      <c r="A393" t="s">
        <v>139</v>
      </c>
      <c r="B393" t="s">
        <v>22</v>
      </c>
      <c r="C393" t="s">
        <v>23</v>
      </c>
      <c r="D393" t="s">
        <v>18</v>
      </c>
      <c r="E393" s="1">
        <v>45198</v>
      </c>
      <c r="F393" t="s">
        <v>30</v>
      </c>
      <c r="G393" t="str">
        <f ca="1">VLOOKUP(RAND(),{0,"Lucas";0.39,"Roberto";0.63,"Carla";0.78,"Pedro";0.93,"Emilly"},2,TRUE)</f>
        <v>Carla</v>
      </c>
      <c r="H393">
        <v>1</v>
      </c>
      <c r="I393">
        <v>475</v>
      </c>
      <c r="J393">
        <v>0.4</v>
      </c>
      <c r="K393">
        <f>PRODUCT(TabelaVendas1__2[[#This Row],[Valor_UnitarioXQtd]],TabelaVendas1__2[[#This Row],[Percentual_Lucro]])</f>
        <v>190</v>
      </c>
      <c r="L393">
        <v>475</v>
      </c>
      <c r="M393">
        <f>PRODUCT(TabelaVendas1__2[[#This Row],[Quantidade]],TabelaVendas1__2[[#This Row],[Valor_Unitario]])</f>
        <v>475</v>
      </c>
      <c r="N393">
        <f>SUM(TabelaVendas1__2[[#This Row],[Valor_UnitarioXQtd]],TabelaVendas1__2[[#This Row],[Valor_Lucro]])</f>
        <v>665</v>
      </c>
      <c r="O393" s="2" t="s">
        <v>20</v>
      </c>
    </row>
    <row r="394" spans="1:15">
      <c r="A394" t="s">
        <v>113</v>
      </c>
      <c r="B394" t="s">
        <v>22</v>
      </c>
      <c r="C394" t="s">
        <v>23</v>
      </c>
      <c r="D394" t="s">
        <v>18</v>
      </c>
      <c r="E394" s="1">
        <v>45198</v>
      </c>
      <c r="F394" t="s">
        <v>19</v>
      </c>
      <c r="G394" t="str">
        <f ca="1">VLOOKUP(RAND(),{0,"Lucas";0.39,"Roberto";0.63,"Carla";0.78,"Pedro";0.93,"Emilly"},2,TRUE)</f>
        <v>Lucas</v>
      </c>
      <c r="H394">
        <v>1</v>
      </c>
      <c r="I394">
        <v>1400</v>
      </c>
      <c r="J394">
        <v>0.4</v>
      </c>
      <c r="K394">
        <f>PRODUCT(TabelaVendas1__2[[#This Row],[Valor_UnitarioXQtd]],TabelaVendas1__2[[#This Row],[Percentual_Lucro]])</f>
        <v>560</v>
      </c>
      <c r="L394">
        <v>1400</v>
      </c>
      <c r="M394">
        <f>PRODUCT(TabelaVendas1__2[[#This Row],[Quantidade]],TabelaVendas1__2[[#This Row],[Valor_Unitario]])</f>
        <v>1400</v>
      </c>
      <c r="N394">
        <f>SUM(TabelaVendas1__2[[#This Row],[Valor_UnitarioXQtd]],TabelaVendas1__2[[#This Row],[Valor_Lucro]])</f>
        <v>1960</v>
      </c>
      <c r="O394" s="2" t="s">
        <v>20</v>
      </c>
    </row>
    <row r="395" spans="1:15">
      <c r="A395" t="s">
        <v>241</v>
      </c>
      <c r="B395" t="s">
        <v>22</v>
      </c>
      <c r="C395" t="s">
        <v>23</v>
      </c>
      <c r="D395" t="s">
        <v>54</v>
      </c>
      <c r="E395" s="1">
        <v>45198</v>
      </c>
      <c r="F395" t="s">
        <v>19</v>
      </c>
      <c r="G395" t="str">
        <f ca="1">VLOOKUP(RAND(),{0,"Lucas";0.39,"Roberto";0.63,"Carla";0.78,"Pedro";0.93,"Emilly"},2,TRUE)</f>
        <v>Emilly</v>
      </c>
      <c r="H395">
        <v>1</v>
      </c>
      <c r="I395">
        <v>1950</v>
      </c>
      <c r="J395">
        <v>0.4</v>
      </c>
      <c r="K395">
        <f>PRODUCT(TabelaVendas1__2[[#This Row],[Valor_UnitarioXQtd]],TabelaVendas1__2[[#This Row],[Percentual_Lucro]])</f>
        <v>780</v>
      </c>
      <c r="L395">
        <v>1950</v>
      </c>
      <c r="M395">
        <f>PRODUCT(TabelaVendas1__2[[#This Row],[Quantidade]],TabelaVendas1__2[[#This Row],[Valor_Unitario]])</f>
        <v>1950</v>
      </c>
      <c r="N395">
        <f>SUM(TabelaVendas1__2[[#This Row],[Valor_UnitarioXQtd]],TabelaVendas1__2[[#This Row],[Valor_Lucro]])</f>
        <v>2730</v>
      </c>
      <c r="O395" s="2" t="s">
        <v>55</v>
      </c>
    </row>
    <row r="396" spans="1:15">
      <c r="A396" t="s">
        <v>242</v>
      </c>
      <c r="B396" t="s">
        <v>22</v>
      </c>
      <c r="C396" t="s">
        <v>23</v>
      </c>
      <c r="D396" t="s">
        <v>75</v>
      </c>
      <c r="E396" s="1">
        <v>45198</v>
      </c>
      <c r="F396" t="s">
        <v>19</v>
      </c>
      <c r="G396" t="str">
        <f ca="1">VLOOKUP(RAND(),{0,"Lucas";0.39,"Roberto";0.63,"Carla";0.78,"Pedro";0.93,"Emilly"},2,TRUE)</f>
        <v>Lucas</v>
      </c>
      <c r="H396">
        <v>1</v>
      </c>
      <c r="I396">
        <v>4500</v>
      </c>
      <c r="J396">
        <v>0.4</v>
      </c>
      <c r="K396">
        <f>PRODUCT(TabelaVendas1__2[[#This Row],[Valor_UnitarioXQtd]],TabelaVendas1__2[[#This Row],[Percentual_Lucro]])</f>
        <v>1800</v>
      </c>
      <c r="L396">
        <v>4500</v>
      </c>
      <c r="M396">
        <f>PRODUCT(TabelaVendas1__2[[#This Row],[Quantidade]],TabelaVendas1__2[[#This Row],[Valor_Unitario]])</f>
        <v>4500</v>
      </c>
      <c r="N396">
        <f>SUM(TabelaVendas1__2[[#This Row],[Valor_UnitarioXQtd]],TabelaVendas1__2[[#This Row],[Valor_Lucro]])</f>
        <v>6300</v>
      </c>
      <c r="O396" s="2" t="s">
        <v>76</v>
      </c>
    </row>
    <row r="397" spans="1:15">
      <c r="A397" t="s">
        <v>240</v>
      </c>
      <c r="B397" t="s">
        <v>22</v>
      </c>
      <c r="C397" t="s">
        <v>23</v>
      </c>
      <c r="D397" t="s">
        <v>75</v>
      </c>
      <c r="E397" s="1">
        <v>45198</v>
      </c>
      <c r="F397" t="s">
        <v>27</v>
      </c>
      <c r="G397" t="str">
        <f ca="1">VLOOKUP(RAND(),{0,"Lucas";0.39,"Roberto";0.63,"Carla";0.78,"Pedro";0.93,"Emilly"},2,TRUE)</f>
        <v>Lucas</v>
      </c>
      <c r="H397">
        <v>1</v>
      </c>
      <c r="I397">
        <v>1200</v>
      </c>
      <c r="J397">
        <v>0.4</v>
      </c>
      <c r="K397">
        <f>PRODUCT(TabelaVendas1__2[[#This Row],[Valor_UnitarioXQtd]],TabelaVendas1__2[[#This Row],[Percentual_Lucro]])</f>
        <v>480</v>
      </c>
      <c r="L397">
        <v>1200</v>
      </c>
      <c r="M397">
        <f>PRODUCT(TabelaVendas1__2[[#This Row],[Quantidade]],TabelaVendas1__2[[#This Row],[Valor_Unitario]])</f>
        <v>1200</v>
      </c>
      <c r="N397">
        <f>SUM(TabelaVendas1__2[[#This Row],[Valor_UnitarioXQtd]],TabelaVendas1__2[[#This Row],[Valor_Lucro]])</f>
        <v>1680</v>
      </c>
      <c r="O397" s="2" t="s">
        <v>76</v>
      </c>
    </row>
    <row r="398" spans="1:15">
      <c r="A398" t="s">
        <v>243</v>
      </c>
      <c r="B398" t="s">
        <v>22</v>
      </c>
      <c r="C398" t="s">
        <v>23</v>
      </c>
      <c r="D398" t="s">
        <v>29</v>
      </c>
      <c r="E398" s="1">
        <v>45198</v>
      </c>
      <c r="F398" t="s">
        <v>27</v>
      </c>
      <c r="G398" t="str">
        <f ca="1">VLOOKUP(RAND(),{0,"Lucas";0.39,"Roberto";0.63,"Carla";0.78,"Pedro";0.93,"Emilly"},2,TRUE)</f>
        <v>Roberto</v>
      </c>
      <c r="H398">
        <v>1</v>
      </c>
      <c r="I398">
        <v>2300</v>
      </c>
      <c r="J398">
        <v>0.4</v>
      </c>
      <c r="K398">
        <f>PRODUCT(TabelaVendas1__2[[#This Row],[Valor_UnitarioXQtd]],TabelaVendas1__2[[#This Row],[Percentual_Lucro]])</f>
        <v>920</v>
      </c>
      <c r="L398">
        <v>2300</v>
      </c>
      <c r="M398">
        <f>PRODUCT(TabelaVendas1__2[[#This Row],[Quantidade]],TabelaVendas1__2[[#This Row],[Valor_Unitario]])</f>
        <v>2300</v>
      </c>
      <c r="N398">
        <f>SUM(TabelaVendas1__2[[#This Row],[Valor_UnitarioXQtd]],TabelaVendas1__2[[#This Row],[Valor_Lucro]])</f>
        <v>3220</v>
      </c>
      <c r="O398" s="2" t="s">
        <v>31</v>
      </c>
    </row>
    <row r="399" spans="1:15">
      <c r="A399" t="s">
        <v>244</v>
      </c>
      <c r="B399" t="s">
        <v>22</v>
      </c>
      <c r="C399" t="s">
        <v>23</v>
      </c>
      <c r="D399" t="s">
        <v>29</v>
      </c>
      <c r="E399" s="1">
        <v>45198</v>
      </c>
      <c r="F399" t="s">
        <v>27</v>
      </c>
      <c r="G399" t="str">
        <f ca="1">VLOOKUP(RAND(),{0,"Lucas";0.39,"Roberto";0.63,"Carla";0.78,"Pedro";0.93,"Emilly"},2,TRUE)</f>
        <v>Carla</v>
      </c>
      <c r="H399">
        <v>1</v>
      </c>
      <c r="I399">
        <v>2000</v>
      </c>
      <c r="J399">
        <v>0.4</v>
      </c>
      <c r="K399">
        <f>PRODUCT(TabelaVendas1__2[[#This Row],[Valor_UnitarioXQtd]],TabelaVendas1__2[[#This Row],[Percentual_Lucro]])</f>
        <v>800</v>
      </c>
      <c r="L399">
        <v>2000</v>
      </c>
      <c r="M399">
        <f>PRODUCT(TabelaVendas1__2[[#This Row],[Quantidade]],TabelaVendas1__2[[#This Row],[Valor_Unitario]])</f>
        <v>2000</v>
      </c>
      <c r="N399">
        <f>SUM(TabelaVendas1__2[[#This Row],[Valor_UnitarioXQtd]],TabelaVendas1__2[[#This Row],[Valor_Lucro]])</f>
        <v>2800</v>
      </c>
      <c r="O399" s="2" t="s">
        <v>31</v>
      </c>
    </row>
    <row r="400" spans="1:15">
      <c r="A400" t="s">
        <v>32</v>
      </c>
      <c r="B400" t="s">
        <v>22</v>
      </c>
      <c r="C400" t="s">
        <v>33</v>
      </c>
      <c r="D400" t="s">
        <v>34</v>
      </c>
      <c r="E400" s="1">
        <v>45198</v>
      </c>
      <c r="F400" t="s">
        <v>27</v>
      </c>
      <c r="G400" t="str">
        <f ca="1">VLOOKUP(RAND(),{0,"Lucas";0.39,"Roberto";0.63,"Carla";0.78,"Pedro";0.93,"Emilly"},2,TRUE)</f>
        <v>Roberto</v>
      </c>
      <c r="H400">
        <v>1</v>
      </c>
      <c r="I400">
        <v>2350</v>
      </c>
      <c r="J400">
        <v>0.4</v>
      </c>
      <c r="K400">
        <f>PRODUCT(TabelaVendas1__2[[#This Row],[Valor_UnitarioXQtd]],TabelaVendas1__2[[#This Row],[Percentual_Lucro]])</f>
        <v>940</v>
      </c>
      <c r="L400">
        <v>2350</v>
      </c>
      <c r="M400">
        <f>PRODUCT(TabelaVendas1__2[[#This Row],[Quantidade]],TabelaVendas1__2[[#This Row],[Valor_Unitario]])</f>
        <v>2350</v>
      </c>
      <c r="N400">
        <f>SUM(TabelaVendas1__2[[#This Row],[Valor_UnitarioXQtd]],TabelaVendas1__2[[#This Row],[Valor_Lucro]])</f>
        <v>3290</v>
      </c>
      <c r="O400" s="2" t="s">
        <v>35</v>
      </c>
    </row>
    <row r="401" spans="1:15">
      <c r="A401" t="s">
        <v>116</v>
      </c>
      <c r="B401" t="s">
        <v>16</v>
      </c>
      <c r="C401" t="s">
        <v>17</v>
      </c>
      <c r="D401" t="s">
        <v>34</v>
      </c>
      <c r="E401" s="1">
        <v>45198</v>
      </c>
      <c r="F401" t="s">
        <v>30</v>
      </c>
      <c r="G401" t="str">
        <f ca="1">VLOOKUP(RAND(),{0,"Lucas";0.39,"Roberto";0.63,"Carla";0.78,"Pedro";0.93,"Emilly"},2,TRUE)</f>
        <v>Lucas</v>
      </c>
      <c r="H401">
        <v>1</v>
      </c>
      <c r="I401">
        <v>1850</v>
      </c>
      <c r="J401">
        <v>0.4</v>
      </c>
      <c r="K401">
        <f>PRODUCT(TabelaVendas1__2[[#This Row],[Valor_UnitarioXQtd]],TabelaVendas1__2[[#This Row],[Percentual_Lucro]])</f>
        <v>740</v>
      </c>
      <c r="L401">
        <v>1850</v>
      </c>
      <c r="M401">
        <f>PRODUCT(TabelaVendas1__2[[#This Row],[Quantidade]],TabelaVendas1__2[[#This Row],[Valor_Unitario]])</f>
        <v>1850</v>
      </c>
      <c r="N401">
        <f>SUM(TabelaVendas1__2[[#This Row],[Valor_UnitarioXQtd]],TabelaVendas1__2[[#This Row],[Valor_Lucro]])</f>
        <v>2590</v>
      </c>
      <c r="O401" s="2" t="s">
        <v>35</v>
      </c>
    </row>
    <row r="402" spans="1:15">
      <c r="A402" t="s">
        <v>245</v>
      </c>
      <c r="B402" t="s">
        <v>22</v>
      </c>
      <c r="C402" t="s">
        <v>33</v>
      </c>
      <c r="D402" t="s">
        <v>24</v>
      </c>
      <c r="E402" s="1">
        <v>45226</v>
      </c>
      <c r="F402" t="s">
        <v>19</v>
      </c>
      <c r="G402" t="str">
        <f ca="1">VLOOKUP(RAND(),{0,"Lucas";0.39,"Roberto";0.63,"Carla";0.78,"Pedro";0.93,"Emilly"},2,TRUE)</f>
        <v>Lucas</v>
      </c>
      <c r="H402">
        <v>1</v>
      </c>
      <c r="I402">
        <v>5600</v>
      </c>
      <c r="J402">
        <v>0.4</v>
      </c>
      <c r="K402">
        <f>PRODUCT(TabelaVendas1__2[[#This Row],[Valor_UnitarioXQtd]],TabelaVendas1__2[[#This Row],[Percentual_Lucro]])</f>
        <v>2240</v>
      </c>
      <c r="L402">
        <v>5600</v>
      </c>
      <c r="M402">
        <f>PRODUCT(TabelaVendas1__2[[#This Row],[Quantidade]],TabelaVendas1__2[[#This Row],[Valor_Unitario]])</f>
        <v>5600</v>
      </c>
      <c r="N402">
        <f>SUM(TabelaVendas1__2[[#This Row],[Valor_UnitarioXQtd]],TabelaVendas1__2[[#This Row],[Valor_Lucro]])</f>
        <v>7840</v>
      </c>
      <c r="O402" s="2" t="s">
        <v>25</v>
      </c>
    </row>
    <row r="403" spans="1:15">
      <c r="A403" t="s">
        <v>105</v>
      </c>
      <c r="B403" t="s">
        <v>51</v>
      </c>
      <c r="C403" t="s">
        <v>17</v>
      </c>
      <c r="D403" t="s">
        <v>18</v>
      </c>
      <c r="E403" s="1">
        <v>45226</v>
      </c>
      <c r="F403" t="s">
        <v>27</v>
      </c>
      <c r="G403" t="str">
        <f ca="1">VLOOKUP(RAND(),{0,"Lucas";0.39,"Roberto";0.63,"Carla";0.78,"Pedro";0.93,"Emilly"},2,TRUE)</f>
        <v>Pedro</v>
      </c>
      <c r="H403">
        <v>1</v>
      </c>
      <c r="I403">
        <v>3800</v>
      </c>
      <c r="J403">
        <v>0.4</v>
      </c>
      <c r="K403">
        <f>PRODUCT(TabelaVendas1__2[[#This Row],[Valor_UnitarioXQtd]],TabelaVendas1__2[[#This Row],[Percentual_Lucro]])</f>
        <v>1520</v>
      </c>
      <c r="L403">
        <v>3800</v>
      </c>
      <c r="M403">
        <f>PRODUCT(TabelaVendas1__2[[#This Row],[Quantidade]],TabelaVendas1__2[[#This Row],[Valor_Unitario]])</f>
        <v>3800</v>
      </c>
      <c r="N403">
        <f>SUM(TabelaVendas1__2[[#This Row],[Valor_UnitarioXQtd]],TabelaVendas1__2[[#This Row],[Valor_Lucro]])</f>
        <v>5320</v>
      </c>
      <c r="O403" s="2" t="s">
        <v>20</v>
      </c>
    </row>
    <row r="404" spans="1:15">
      <c r="A404" t="s">
        <v>182</v>
      </c>
      <c r="B404" t="s">
        <v>51</v>
      </c>
      <c r="C404" t="s">
        <v>17</v>
      </c>
      <c r="D404" t="s">
        <v>18</v>
      </c>
      <c r="E404" s="1">
        <v>45226</v>
      </c>
      <c r="F404" t="s">
        <v>30</v>
      </c>
      <c r="G404" t="str">
        <f ca="1">VLOOKUP(RAND(),{0,"Lucas";0.39,"Roberto";0.63,"Carla";0.78,"Pedro";0.93,"Emilly"},2,TRUE)</f>
        <v>Lucas</v>
      </c>
      <c r="H404">
        <v>1</v>
      </c>
      <c r="I404">
        <v>2600</v>
      </c>
      <c r="J404">
        <v>0.4</v>
      </c>
      <c r="K404">
        <f>PRODUCT(TabelaVendas1__2[[#This Row],[Valor_UnitarioXQtd]],TabelaVendas1__2[[#This Row],[Percentual_Lucro]])</f>
        <v>1040</v>
      </c>
      <c r="L404">
        <v>2600</v>
      </c>
      <c r="M404">
        <f>PRODUCT(TabelaVendas1__2[[#This Row],[Quantidade]],TabelaVendas1__2[[#This Row],[Valor_Unitario]])</f>
        <v>2600</v>
      </c>
      <c r="N404">
        <f>SUM(TabelaVendas1__2[[#This Row],[Valor_UnitarioXQtd]],TabelaVendas1__2[[#This Row],[Valor_Lucro]])</f>
        <v>3640</v>
      </c>
      <c r="O404" s="2" t="s">
        <v>20</v>
      </c>
    </row>
    <row r="405" spans="1:15">
      <c r="A405" t="s">
        <v>246</v>
      </c>
      <c r="B405" t="s">
        <v>22</v>
      </c>
      <c r="C405" t="s">
        <v>23</v>
      </c>
      <c r="D405" t="s">
        <v>126</v>
      </c>
      <c r="E405" s="1">
        <v>45226</v>
      </c>
      <c r="F405" t="s">
        <v>30</v>
      </c>
      <c r="G405" t="str">
        <f ca="1">VLOOKUP(RAND(),{0,"Lucas";0.39,"Roberto";0.63,"Carla";0.78,"Pedro";0.93,"Emilly"},2,TRUE)</f>
        <v>Pedro</v>
      </c>
      <c r="H405">
        <v>1</v>
      </c>
      <c r="I405">
        <v>1850</v>
      </c>
      <c r="J405">
        <v>0.4</v>
      </c>
      <c r="K405">
        <f>PRODUCT(TabelaVendas1__2[[#This Row],[Valor_UnitarioXQtd]],TabelaVendas1__2[[#This Row],[Percentual_Lucro]])</f>
        <v>740</v>
      </c>
      <c r="L405">
        <v>1850</v>
      </c>
      <c r="M405">
        <f>PRODUCT(TabelaVendas1__2[[#This Row],[Quantidade]],TabelaVendas1__2[[#This Row],[Valor_Unitario]])</f>
        <v>1850</v>
      </c>
      <c r="N405">
        <f>SUM(TabelaVendas1__2[[#This Row],[Valor_UnitarioXQtd]],TabelaVendas1__2[[#This Row],[Valor_Lucro]])</f>
        <v>2590</v>
      </c>
      <c r="O405" s="2" t="s">
        <v>127</v>
      </c>
    </row>
    <row r="406" spans="1:15">
      <c r="A406" t="s">
        <v>247</v>
      </c>
      <c r="B406" t="s">
        <v>22</v>
      </c>
      <c r="C406" t="s">
        <v>23</v>
      </c>
      <c r="D406" t="s">
        <v>54</v>
      </c>
      <c r="E406" s="1">
        <v>45226</v>
      </c>
      <c r="F406" t="s">
        <v>30</v>
      </c>
      <c r="G406" t="str">
        <f ca="1">VLOOKUP(RAND(),{0,"Lucas";0.39,"Roberto";0.63,"Carla";0.78,"Pedro";0.93,"Emilly"},2,TRUE)</f>
        <v>Emilly</v>
      </c>
      <c r="H406">
        <v>1</v>
      </c>
      <c r="I406">
        <v>2000</v>
      </c>
      <c r="J406">
        <v>0.4</v>
      </c>
      <c r="K406">
        <f>PRODUCT(TabelaVendas1__2[[#This Row],[Valor_UnitarioXQtd]],TabelaVendas1__2[[#This Row],[Percentual_Lucro]])</f>
        <v>800</v>
      </c>
      <c r="L406">
        <v>2000</v>
      </c>
      <c r="M406">
        <f>PRODUCT(TabelaVendas1__2[[#This Row],[Quantidade]],TabelaVendas1__2[[#This Row],[Valor_Unitario]])</f>
        <v>2000</v>
      </c>
      <c r="N406">
        <f>SUM(TabelaVendas1__2[[#This Row],[Valor_UnitarioXQtd]],TabelaVendas1__2[[#This Row],[Valor_Lucro]])</f>
        <v>2800</v>
      </c>
      <c r="O406" s="2" t="s">
        <v>55</v>
      </c>
    </row>
    <row r="407" spans="1:15">
      <c r="A407" t="s">
        <v>149</v>
      </c>
      <c r="B407" t="s">
        <v>22</v>
      </c>
      <c r="C407" t="s">
        <v>33</v>
      </c>
      <c r="D407" t="s">
        <v>34</v>
      </c>
      <c r="E407" s="1">
        <v>45226</v>
      </c>
      <c r="F407" t="s">
        <v>27</v>
      </c>
      <c r="G407" t="str">
        <f ca="1">VLOOKUP(RAND(),{0,"Lucas";0.39,"Roberto";0.63,"Carla";0.78,"Pedro";0.93,"Emilly"},2,TRUE)</f>
        <v>Roberto</v>
      </c>
      <c r="H407">
        <v>1</v>
      </c>
      <c r="I407">
        <v>2300</v>
      </c>
      <c r="J407">
        <v>0.4</v>
      </c>
      <c r="K407">
        <f>PRODUCT(TabelaVendas1__2[[#This Row],[Valor_UnitarioXQtd]],TabelaVendas1__2[[#This Row],[Percentual_Lucro]])</f>
        <v>920</v>
      </c>
      <c r="L407">
        <v>2300</v>
      </c>
      <c r="M407">
        <f>PRODUCT(TabelaVendas1__2[[#This Row],[Quantidade]],TabelaVendas1__2[[#This Row],[Valor_Unitario]])</f>
        <v>2300</v>
      </c>
      <c r="N407">
        <f>SUM(TabelaVendas1__2[[#This Row],[Valor_UnitarioXQtd]],TabelaVendas1__2[[#This Row],[Valor_Lucro]])</f>
        <v>3220</v>
      </c>
      <c r="O407" s="2" t="s">
        <v>35</v>
      </c>
    </row>
    <row r="408" spans="1:15">
      <c r="A408" t="s">
        <v>248</v>
      </c>
      <c r="B408" t="s">
        <v>16</v>
      </c>
      <c r="C408" t="s">
        <v>17</v>
      </c>
      <c r="D408" t="s">
        <v>97</v>
      </c>
      <c r="E408" s="1">
        <v>45249</v>
      </c>
      <c r="F408" t="s">
        <v>30</v>
      </c>
      <c r="G408" t="str">
        <f ca="1">VLOOKUP(RAND(),{0,"Lucas";0.39,"Roberto";0.63,"Carla";0.78,"Pedro";0.93,"Emilly"},2,TRUE)</f>
        <v>Lucas</v>
      </c>
      <c r="H408">
        <v>1</v>
      </c>
      <c r="I408">
        <v>3250</v>
      </c>
      <c r="J408">
        <v>0.4</v>
      </c>
      <c r="K408">
        <f>PRODUCT(TabelaVendas1__2[[#This Row],[Valor_UnitarioXQtd]],TabelaVendas1__2[[#This Row],[Percentual_Lucro]])</f>
        <v>1300</v>
      </c>
      <c r="L408">
        <v>3250</v>
      </c>
      <c r="M408">
        <f>PRODUCT(TabelaVendas1__2[[#This Row],[Quantidade]],TabelaVendas1__2[[#This Row],[Valor_Unitario]])</f>
        <v>3250</v>
      </c>
      <c r="N408">
        <f>SUM(TabelaVendas1__2[[#This Row],[Valor_UnitarioXQtd]],TabelaVendas1__2[[#This Row],[Valor_Lucro]])</f>
        <v>4550</v>
      </c>
      <c r="O408" s="2" t="s">
        <v>98</v>
      </c>
    </row>
    <row r="409" spans="1:15">
      <c r="A409" t="s">
        <v>249</v>
      </c>
      <c r="B409" t="s">
        <v>22</v>
      </c>
      <c r="C409" t="s">
        <v>23</v>
      </c>
      <c r="D409" t="s">
        <v>18</v>
      </c>
      <c r="E409" s="1">
        <v>45249</v>
      </c>
      <c r="F409" t="s">
        <v>19</v>
      </c>
      <c r="G409" t="str">
        <f ca="1">VLOOKUP(RAND(),{0,"Lucas";0.39,"Roberto";0.63,"Carla";0.78,"Pedro";0.93,"Emilly"},2,TRUE)</f>
        <v>Pedro</v>
      </c>
      <c r="H409">
        <v>1</v>
      </c>
      <c r="I409">
        <v>3800</v>
      </c>
      <c r="J409">
        <v>0.4</v>
      </c>
      <c r="K409">
        <f>PRODUCT(TabelaVendas1__2[[#This Row],[Valor_UnitarioXQtd]],TabelaVendas1__2[[#This Row],[Percentual_Lucro]])</f>
        <v>1520</v>
      </c>
      <c r="L409">
        <v>3800</v>
      </c>
      <c r="M409">
        <f>PRODUCT(TabelaVendas1__2[[#This Row],[Quantidade]],TabelaVendas1__2[[#This Row],[Valor_Unitario]])</f>
        <v>3800</v>
      </c>
      <c r="N409">
        <f>SUM(TabelaVendas1__2[[#This Row],[Valor_UnitarioXQtd]],TabelaVendas1__2[[#This Row],[Valor_Lucro]])</f>
        <v>5320</v>
      </c>
      <c r="O409" s="2" t="s">
        <v>20</v>
      </c>
    </row>
    <row r="410" spans="1:15">
      <c r="A410" t="s">
        <v>158</v>
      </c>
      <c r="B410" t="s">
        <v>22</v>
      </c>
      <c r="C410" t="s">
        <v>23</v>
      </c>
      <c r="D410" t="s">
        <v>18</v>
      </c>
      <c r="E410" s="1">
        <v>45249</v>
      </c>
      <c r="F410" t="s">
        <v>27</v>
      </c>
      <c r="G410" t="str">
        <f ca="1">VLOOKUP(RAND(),{0,"Lucas";0.39,"Roberto";0.63,"Carla";0.78,"Pedro";0.93,"Emilly"},2,TRUE)</f>
        <v>Lucas</v>
      </c>
      <c r="H410">
        <v>1</v>
      </c>
      <c r="I410">
        <v>1125</v>
      </c>
      <c r="J410">
        <v>0.4</v>
      </c>
      <c r="K410">
        <f>PRODUCT(TabelaVendas1__2[[#This Row],[Valor_UnitarioXQtd]],TabelaVendas1__2[[#This Row],[Percentual_Lucro]])</f>
        <v>450</v>
      </c>
      <c r="L410">
        <v>1125</v>
      </c>
      <c r="M410">
        <f>PRODUCT(TabelaVendas1__2[[#This Row],[Quantidade]],TabelaVendas1__2[[#This Row],[Valor_Unitario]])</f>
        <v>1125</v>
      </c>
      <c r="N410">
        <f>SUM(TabelaVendas1__2[[#This Row],[Valor_UnitarioXQtd]],TabelaVendas1__2[[#This Row],[Valor_Lucro]])</f>
        <v>1575</v>
      </c>
      <c r="O410" s="2" t="s">
        <v>20</v>
      </c>
    </row>
    <row r="411" spans="1:15">
      <c r="A411" t="s">
        <v>250</v>
      </c>
      <c r="B411" t="s">
        <v>22</v>
      </c>
      <c r="C411" t="s">
        <v>23</v>
      </c>
      <c r="D411" t="s">
        <v>126</v>
      </c>
      <c r="E411" s="1">
        <v>45249</v>
      </c>
      <c r="F411" t="s">
        <v>27</v>
      </c>
      <c r="G411" t="str">
        <f ca="1">VLOOKUP(RAND(),{0,"Lucas";0.39,"Roberto";0.63,"Carla";0.78,"Pedro";0.93,"Emilly"},2,TRUE)</f>
        <v>Lucas</v>
      </c>
      <c r="H411">
        <v>1</v>
      </c>
      <c r="I411">
        <v>1300</v>
      </c>
      <c r="J411">
        <v>0.4</v>
      </c>
      <c r="K411">
        <f>PRODUCT(TabelaVendas1__2[[#This Row],[Valor_UnitarioXQtd]],TabelaVendas1__2[[#This Row],[Percentual_Lucro]])</f>
        <v>520</v>
      </c>
      <c r="L411">
        <v>1300</v>
      </c>
      <c r="M411">
        <f>PRODUCT(TabelaVendas1__2[[#This Row],[Quantidade]],TabelaVendas1__2[[#This Row],[Valor_Unitario]])</f>
        <v>1300</v>
      </c>
      <c r="N411">
        <f>SUM(TabelaVendas1__2[[#This Row],[Valor_UnitarioXQtd]],TabelaVendas1__2[[#This Row],[Valor_Lucro]])</f>
        <v>1820</v>
      </c>
      <c r="O411" s="2" t="s">
        <v>127</v>
      </c>
    </row>
    <row r="412" spans="1:15">
      <c r="A412" t="s">
        <v>125</v>
      </c>
      <c r="B412" t="s">
        <v>22</v>
      </c>
      <c r="C412" t="s">
        <v>23</v>
      </c>
      <c r="D412" t="s">
        <v>126</v>
      </c>
      <c r="E412" s="1">
        <v>45249</v>
      </c>
      <c r="F412" t="s">
        <v>30</v>
      </c>
      <c r="G412" t="str">
        <f ca="1">VLOOKUP(RAND(),{0,"Lucas";0.39,"Roberto";0.63,"Carla";0.78,"Pedro";0.93,"Emilly"},2,TRUE)</f>
        <v>Roberto</v>
      </c>
      <c r="H412">
        <v>1</v>
      </c>
      <c r="I412">
        <v>3200</v>
      </c>
      <c r="J412">
        <v>0.4</v>
      </c>
      <c r="K412">
        <f>PRODUCT(TabelaVendas1__2[[#This Row],[Valor_UnitarioXQtd]],TabelaVendas1__2[[#This Row],[Percentual_Lucro]])</f>
        <v>1280</v>
      </c>
      <c r="L412">
        <v>3200</v>
      </c>
      <c r="M412">
        <f>PRODUCT(TabelaVendas1__2[[#This Row],[Quantidade]],TabelaVendas1__2[[#This Row],[Valor_Unitario]])</f>
        <v>3200</v>
      </c>
      <c r="N412">
        <f>SUM(TabelaVendas1__2[[#This Row],[Valor_UnitarioXQtd]],TabelaVendas1__2[[#This Row],[Valor_Lucro]])</f>
        <v>4480</v>
      </c>
      <c r="O412" s="2" t="s">
        <v>127</v>
      </c>
    </row>
    <row r="413" spans="1:15">
      <c r="A413" t="s">
        <v>251</v>
      </c>
      <c r="B413" t="s">
        <v>51</v>
      </c>
      <c r="C413" t="s">
        <v>17</v>
      </c>
      <c r="D413" t="s">
        <v>54</v>
      </c>
      <c r="E413" s="1">
        <v>45249</v>
      </c>
      <c r="F413" t="s">
        <v>30</v>
      </c>
      <c r="G413" t="str">
        <f ca="1">VLOOKUP(RAND(),{0,"Lucas";0.39,"Roberto";0.63,"Carla";0.78,"Pedro";0.93,"Emilly"},2,TRUE)</f>
        <v>Roberto</v>
      </c>
      <c r="H413">
        <v>1</v>
      </c>
      <c r="I413">
        <v>5200</v>
      </c>
      <c r="J413">
        <v>0.4</v>
      </c>
      <c r="K413">
        <f>PRODUCT(TabelaVendas1__2[[#This Row],[Valor_UnitarioXQtd]],TabelaVendas1__2[[#This Row],[Percentual_Lucro]])</f>
        <v>2080</v>
      </c>
      <c r="L413">
        <v>5200</v>
      </c>
      <c r="M413">
        <f>PRODUCT(TabelaVendas1__2[[#This Row],[Quantidade]],TabelaVendas1__2[[#This Row],[Valor_Unitario]])</f>
        <v>5200</v>
      </c>
      <c r="N413">
        <f>SUM(TabelaVendas1__2[[#This Row],[Valor_UnitarioXQtd]],TabelaVendas1__2[[#This Row],[Valor_Lucro]])</f>
        <v>7280</v>
      </c>
      <c r="O413" s="2" t="s">
        <v>55</v>
      </c>
    </row>
    <row r="414" spans="1:15">
      <c r="A414" t="s">
        <v>188</v>
      </c>
      <c r="B414" t="s">
        <v>51</v>
      </c>
      <c r="C414" t="s">
        <v>17</v>
      </c>
      <c r="D414" t="s">
        <v>29</v>
      </c>
      <c r="E414" s="1">
        <v>45249</v>
      </c>
      <c r="F414" t="s">
        <v>30</v>
      </c>
      <c r="G414" t="str">
        <f ca="1">VLOOKUP(RAND(),{0,"Lucas";0.39,"Roberto";0.63,"Carla";0.78,"Pedro";0.93,"Emilly"},2,TRUE)</f>
        <v>Pedro</v>
      </c>
      <c r="H414">
        <v>1</v>
      </c>
      <c r="I414">
        <v>1230</v>
      </c>
      <c r="J414">
        <v>0.4</v>
      </c>
      <c r="K414">
        <f>PRODUCT(TabelaVendas1__2[[#This Row],[Valor_UnitarioXQtd]],TabelaVendas1__2[[#This Row],[Percentual_Lucro]])</f>
        <v>492</v>
      </c>
      <c r="L414">
        <v>1230</v>
      </c>
      <c r="M414">
        <f>PRODUCT(TabelaVendas1__2[[#This Row],[Quantidade]],TabelaVendas1__2[[#This Row],[Valor_Unitario]])</f>
        <v>1230</v>
      </c>
      <c r="N414">
        <f>SUM(TabelaVendas1__2[[#This Row],[Valor_UnitarioXQtd]],TabelaVendas1__2[[#This Row],[Valor_Lucro]])</f>
        <v>1722</v>
      </c>
      <c r="O414" s="2" t="s">
        <v>31</v>
      </c>
    </row>
    <row r="415" spans="1:15">
      <c r="A415" t="s">
        <v>252</v>
      </c>
      <c r="B415" t="s">
        <v>253</v>
      </c>
      <c r="C415" t="s">
        <v>17</v>
      </c>
      <c r="D415" t="s">
        <v>18</v>
      </c>
      <c r="E415" s="1">
        <v>45269</v>
      </c>
      <c r="F415" t="s">
        <v>19</v>
      </c>
      <c r="G415" t="str">
        <f ca="1">VLOOKUP(RAND(),{0,"Lucas";0.39,"Roberto";0.63,"Carla";0.78,"Pedro";0.93,"Emilly"},2,TRUE)</f>
        <v>Roberto</v>
      </c>
      <c r="H415">
        <v>1</v>
      </c>
      <c r="I415">
        <v>240</v>
      </c>
      <c r="J415">
        <v>0.4</v>
      </c>
      <c r="K415">
        <f>PRODUCT(TabelaVendas1__2[[#This Row],[Valor_UnitarioXQtd]],TabelaVendas1__2[[#This Row],[Percentual_Lucro]])</f>
        <v>96</v>
      </c>
      <c r="L415">
        <v>240</v>
      </c>
      <c r="M415">
        <f>PRODUCT(TabelaVendas1__2[[#This Row],[Quantidade]],TabelaVendas1__2[[#This Row],[Valor_Unitario]])</f>
        <v>240</v>
      </c>
      <c r="N415">
        <f>SUM(TabelaVendas1__2[[#This Row],[Valor_UnitarioXQtd]],TabelaVendas1__2[[#This Row],[Valor_Lucro]])</f>
        <v>336</v>
      </c>
      <c r="O415" s="2" t="s">
        <v>20</v>
      </c>
    </row>
    <row r="416" spans="1:15">
      <c r="A416" t="s">
        <v>91</v>
      </c>
      <c r="B416" t="s">
        <v>22</v>
      </c>
      <c r="C416" t="s">
        <v>23</v>
      </c>
      <c r="D416" t="s">
        <v>18</v>
      </c>
      <c r="E416" s="1">
        <v>45289</v>
      </c>
      <c r="F416" t="s">
        <v>27</v>
      </c>
      <c r="G416" t="str">
        <f ca="1">VLOOKUP(RAND(),{0,"Lucas";0.39,"Roberto";0.63,"Carla";0.78,"Pedro";0.93,"Emilly"},2,TRUE)</f>
        <v>Lucas</v>
      </c>
      <c r="H416">
        <v>1</v>
      </c>
      <c r="I416">
        <v>1800</v>
      </c>
      <c r="J416">
        <v>0.4</v>
      </c>
      <c r="K416">
        <f>PRODUCT(TabelaVendas1__2[[#This Row],[Valor_UnitarioXQtd]],TabelaVendas1__2[[#This Row],[Percentual_Lucro]])</f>
        <v>720</v>
      </c>
      <c r="L416">
        <v>1800</v>
      </c>
      <c r="M416">
        <f>PRODUCT(TabelaVendas1__2[[#This Row],[Quantidade]],TabelaVendas1__2[[#This Row],[Valor_Unitario]])</f>
        <v>1800</v>
      </c>
      <c r="N416">
        <f>SUM(TabelaVendas1__2[[#This Row],[Valor_UnitarioXQtd]],TabelaVendas1__2[[#This Row],[Valor_Lucro]])</f>
        <v>2520</v>
      </c>
      <c r="O416" s="2" t="s">
        <v>20</v>
      </c>
    </row>
    <row r="417" spans="1:15">
      <c r="A417" t="s">
        <v>103</v>
      </c>
      <c r="B417" t="s">
        <v>22</v>
      </c>
      <c r="C417" t="s">
        <v>23</v>
      </c>
      <c r="D417" t="s">
        <v>18</v>
      </c>
      <c r="E417" s="1">
        <v>45289</v>
      </c>
      <c r="F417" t="s">
        <v>19</v>
      </c>
      <c r="G417" t="str">
        <f ca="1">VLOOKUP(RAND(),{0,"Lucas";0.39,"Roberto";0.63,"Carla";0.78,"Pedro";0.93,"Emilly"},2,TRUE)</f>
        <v>Pedro</v>
      </c>
      <c r="H417">
        <v>1</v>
      </c>
      <c r="I417">
        <v>4000</v>
      </c>
      <c r="J417">
        <v>0.4</v>
      </c>
      <c r="K417">
        <f>PRODUCT(TabelaVendas1__2[[#This Row],[Valor_UnitarioXQtd]],TabelaVendas1__2[[#This Row],[Percentual_Lucro]])</f>
        <v>1600</v>
      </c>
      <c r="L417">
        <v>4000</v>
      </c>
      <c r="M417">
        <f>PRODUCT(TabelaVendas1__2[[#This Row],[Quantidade]],TabelaVendas1__2[[#This Row],[Valor_Unitario]])</f>
        <v>4000</v>
      </c>
      <c r="N417">
        <f>SUM(TabelaVendas1__2[[#This Row],[Valor_UnitarioXQtd]],TabelaVendas1__2[[#This Row],[Valor_Lucro]])</f>
        <v>5600</v>
      </c>
      <c r="O417" s="2" t="s">
        <v>20</v>
      </c>
    </row>
    <row r="418" spans="1:15">
      <c r="A418" t="s">
        <v>254</v>
      </c>
      <c r="B418" t="s">
        <v>51</v>
      </c>
      <c r="C418" t="s">
        <v>17</v>
      </c>
      <c r="D418" t="s">
        <v>54</v>
      </c>
      <c r="E418" s="1">
        <v>45289</v>
      </c>
      <c r="F418" t="s">
        <v>27</v>
      </c>
      <c r="G418" t="str">
        <f ca="1">VLOOKUP(RAND(),{0,"Lucas";0.39,"Roberto";0.63,"Carla";0.78,"Pedro";0.93,"Emilly"},2,TRUE)</f>
        <v>Carla</v>
      </c>
      <c r="H418">
        <v>1</v>
      </c>
      <c r="I418">
        <v>2000</v>
      </c>
      <c r="J418">
        <v>0.4</v>
      </c>
      <c r="K418">
        <f>PRODUCT(TabelaVendas1__2[[#This Row],[Valor_UnitarioXQtd]],TabelaVendas1__2[[#This Row],[Percentual_Lucro]])</f>
        <v>800</v>
      </c>
      <c r="L418">
        <v>2000</v>
      </c>
      <c r="M418">
        <f>PRODUCT(TabelaVendas1__2[[#This Row],[Quantidade]],TabelaVendas1__2[[#This Row],[Valor_Unitario]])</f>
        <v>2000</v>
      </c>
      <c r="N418">
        <f>SUM(TabelaVendas1__2[[#This Row],[Valor_UnitarioXQtd]],TabelaVendas1__2[[#This Row],[Valor_Lucro]])</f>
        <v>2800</v>
      </c>
      <c r="O418" s="2" t="s">
        <v>55</v>
      </c>
    </row>
    <row r="419" spans="1:15">
      <c r="A419" t="s">
        <v>255</v>
      </c>
      <c r="B419" t="s">
        <v>16</v>
      </c>
      <c r="C419" t="s">
        <v>17</v>
      </c>
      <c r="D419" t="s">
        <v>34</v>
      </c>
      <c r="E419" s="1">
        <v>45289</v>
      </c>
      <c r="F419" t="s">
        <v>27</v>
      </c>
      <c r="G419" t="str">
        <f ca="1">VLOOKUP(RAND(),{0,"Lucas";0.39,"Roberto";0.63,"Carla";0.78,"Pedro";0.93,"Emilly"},2,TRUE)</f>
        <v>Lucas</v>
      </c>
      <c r="H419">
        <v>1</v>
      </c>
      <c r="I419">
        <v>6500</v>
      </c>
      <c r="J419">
        <v>0.4</v>
      </c>
      <c r="K419">
        <f>PRODUCT(TabelaVendas1__2[[#This Row],[Valor_UnitarioXQtd]],TabelaVendas1__2[[#This Row],[Percentual_Lucro]])</f>
        <v>2600</v>
      </c>
      <c r="L419">
        <v>6500</v>
      </c>
      <c r="M419">
        <f>PRODUCT(TabelaVendas1__2[[#This Row],[Quantidade]],TabelaVendas1__2[[#This Row],[Valor_Unitario]])</f>
        <v>6500</v>
      </c>
      <c r="N419">
        <f>SUM(TabelaVendas1__2[[#This Row],[Valor_UnitarioXQtd]],TabelaVendas1__2[[#This Row],[Valor_Lucro]])</f>
        <v>9100</v>
      </c>
      <c r="O419" s="2" t="s">
        <v>35</v>
      </c>
    </row>
    <row r="420" spans="1:15">
      <c r="A420" t="s">
        <v>91</v>
      </c>
      <c r="B420" t="s">
        <v>22</v>
      </c>
      <c r="C420" t="s">
        <v>23</v>
      </c>
      <c r="D420" t="s">
        <v>18</v>
      </c>
      <c r="E420" s="1">
        <v>45300</v>
      </c>
      <c r="F420" t="s">
        <v>19</v>
      </c>
      <c r="G420" t="str">
        <f ca="1">VLOOKUP(RAND(),{0,"Lucas";0.39,"Roberto";0.63,"Carla";0.78,"Pedro";0.93,"Emilly"},2,TRUE)</f>
        <v>Roberto</v>
      </c>
      <c r="H420">
        <v>1</v>
      </c>
      <c r="I420">
        <v>3400</v>
      </c>
      <c r="J420">
        <v>0.4</v>
      </c>
      <c r="K420">
        <f>PRODUCT(TabelaVendas1__2[[#This Row],[Valor_UnitarioXQtd]],TabelaVendas1__2[[#This Row],[Percentual_Lucro]])</f>
        <v>1360</v>
      </c>
      <c r="L420">
        <v>3400</v>
      </c>
      <c r="M420">
        <f>PRODUCT(TabelaVendas1__2[[#This Row],[Quantidade]],TabelaVendas1__2[[#This Row],[Valor_Unitario]])</f>
        <v>3400</v>
      </c>
      <c r="N420">
        <f>SUM(TabelaVendas1__2[[#This Row],[Valor_UnitarioXQtd]],TabelaVendas1__2[[#This Row],[Valor_Lucro]])</f>
        <v>4760</v>
      </c>
      <c r="O420" s="2" t="s">
        <v>20</v>
      </c>
    </row>
    <row r="421" spans="1:15">
      <c r="A421" t="s">
        <v>144</v>
      </c>
      <c r="B421" t="s">
        <v>22</v>
      </c>
      <c r="C421" t="s">
        <v>23</v>
      </c>
      <c r="D421" t="s">
        <v>126</v>
      </c>
      <c r="E421" s="1">
        <v>45300</v>
      </c>
      <c r="F421" t="s">
        <v>19</v>
      </c>
      <c r="G421" t="str">
        <f ca="1">VLOOKUP(RAND(),{0,"Lucas";0.39,"Roberto";0.63,"Carla";0.78,"Pedro";0.93,"Emilly"},2,TRUE)</f>
        <v>Roberto</v>
      </c>
      <c r="H421">
        <v>1</v>
      </c>
      <c r="I421">
        <v>1150</v>
      </c>
      <c r="J421">
        <v>0.4</v>
      </c>
      <c r="K421">
        <f>PRODUCT(TabelaVendas1__2[[#This Row],[Valor_UnitarioXQtd]],TabelaVendas1__2[[#This Row],[Percentual_Lucro]])</f>
        <v>460</v>
      </c>
      <c r="L421">
        <v>1150</v>
      </c>
      <c r="M421">
        <f>PRODUCT(TabelaVendas1__2[[#This Row],[Quantidade]],TabelaVendas1__2[[#This Row],[Valor_Unitario]])</f>
        <v>1150</v>
      </c>
      <c r="N421">
        <f>SUM(TabelaVendas1__2[[#This Row],[Valor_UnitarioXQtd]],TabelaVendas1__2[[#This Row],[Valor_Lucro]])</f>
        <v>1610</v>
      </c>
      <c r="O421" s="2" t="s">
        <v>127</v>
      </c>
    </row>
    <row r="422" spans="1:15">
      <c r="A422" t="s">
        <v>91</v>
      </c>
      <c r="B422" t="s">
        <v>22</v>
      </c>
      <c r="C422" t="s">
        <v>23</v>
      </c>
      <c r="D422" t="s">
        <v>18</v>
      </c>
      <c r="E422" s="1">
        <v>45321</v>
      </c>
      <c r="F422" t="s">
        <v>30</v>
      </c>
      <c r="G422" t="str">
        <f ca="1">VLOOKUP(RAND(),{0,"Lucas";0.39,"Roberto";0.63,"Carla";0.78,"Pedro";0.93,"Emilly"},2,TRUE)</f>
        <v>Lucas</v>
      </c>
      <c r="H422">
        <v>1</v>
      </c>
      <c r="I422">
        <v>9900</v>
      </c>
      <c r="J422">
        <v>0.4</v>
      </c>
      <c r="K422">
        <f>PRODUCT(TabelaVendas1__2[[#This Row],[Valor_UnitarioXQtd]],TabelaVendas1__2[[#This Row],[Percentual_Lucro]])</f>
        <v>3960</v>
      </c>
      <c r="L422">
        <v>9900</v>
      </c>
      <c r="M422">
        <f>PRODUCT(TabelaVendas1__2[[#This Row],[Quantidade]],TabelaVendas1__2[[#This Row],[Valor_Unitario]])</f>
        <v>9900</v>
      </c>
      <c r="N422">
        <f>SUM(TabelaVendas1__2[[#This Row],[Valor_UnitarioXQtd]],TabelaVendas1__2[[#This Row],[Valor_Lucro]])</f>
        <v>13860</v>
      </c>
      <c r="O422" s="2" t="s">
        <v>20</v>
      </c>
    </row>
    <row r="423" spans="1:15">
      <c r="A423" t="s">
        <v>103</v>
      </c>
      <c r="B423" t="s">
        <v>22</v>
      </c>
      <c r="C423" t="s">
        <v>23</v>
      </c>
      <c r="D423" t="s">
        <v>18</v>
      </c>
      <c r="E423" s="1">
        <v>45321</v>
      </c>
      <c r="F423" t="s">
        <v>30</v>
      </c>
      <c r="G423" t="str">
        <f ca="1">VLOOKUP(RAND(),{0,"Lucas";0.39,"Roberto";0.63,"Carla";0.78,"Pedro";0.93,"Emilly"},2,TRUE)</f>
        <v>Roberto</v>
      </c>
      <c r="H423">
        <v>1</v>
      </c>
      <c r="I423">
        <v>12500</v>
      </c>
      <c r="J423">
        <v>0.4</v>
      </c>
      <c r="K423">
        <f>PRODUCT(TabelaVendas1__2[[#This Row],[Valor_UnitarioXQtd]],TabelaVendas1__2[[#This Row],[Percentual_Lucro]])</f>
        <v>5000</v>
      </c>
      <c r="L423">
        <v>12500</v>
      </c>
      <c r="M423">
        <f>PRODUCT(TabelaVendas1__2[[#This Row],[Quantidade]],TabelaVendas1__2[[#This Row],[Valor_Unitario]])</f>
        <v>12500</v>
      </c>
      <c r="N423">
        <f>SUM(TabelaVendas1__2[[#This Row],[Valor_UnitarioXQtd]],TabelaVendas1__2[[#This Row],[Valor_Lucro]])</f>
        <v>17500</v>
      </c>
      <c r="O423" s="2" t="s">
        <v>20</v>
      </c>
    </row>
    <row r="424" spans="1:15">
      <c r="A424" t="s">
        <v>91</v>
      </c>
      <c r="B424" t="s">
        <v>22</v>
      </c>
      <c r="C424" t="s">
        <v>23</v>
      </c>
      <c r="D424" t="s">
        <v>18</v>
      </c>
      <c r="E424" s="1">
        <v>45349</v>
      </c>
      <c r="F424" t="s">
        <v>19</v>
      </c>
      <c r="G424" t="str">
        <f ca="1">VLOOKUP(RAND(),{0,"Lucas";0.39,"Roberto";0.63,"Carla";0.78,"Pedro";0.93,"Emilly"},2,TRUE)</f>
        <v>Lucas</v>
      </c>
      <c r="H424">
        <v>1</v>
      </c>
      <c r="I424">
        <v>10250</v>
      </c>
      <c r="J424">
        <v>0.4</v>
      </c>
      <c r="K424">
        <f>PRODUCT(TabelaVendas1__2[[#This Row],[Valor_UnitarioXQtd]],TabelaVendas1__2[[#This Row],[Percentual_Lucro]])</f>
        <v>4100</v>
      </c>
      <c r="L424">
        <v>10250</v>
      </c>
      <c r="M424">
        <f>PRODUCT(TabelaVendas1__2[[#This Row],[Quantidade]],TabelaVendas1__2[[#This Row],[Valor_Unitario]])</f>
        <v>10250</v>
      </c>
      <c r="N424">
        <f>SUM(TabelaVendas1__2[[#This Row],[Valor_UnitarioXQtd]],TabelaVendas1__2[[#This Row],[Valor_Lucro]])</f>
        <v>14350</v>
      </c>
      <c r="O424" s="2" t="s">
        <v>20</v>
      </c>
    </row>
    <row r="425" spans="1:15">
      <c r="A425" t="s">
        <v>64</v>
      </c>
      <c r="B425" t="s">
        <v>22</v>
      </c>
      <c r="C425" t="s">
        <v>23</v>
      </c>
      <c r="D425" t="s">
        <v>18</v>
      </c>
      <c r="E425" s="1">
        <v>45349</v>
      </c>
      <c r="F425" t="s">
        <v>19</v>
      </c>
      <c r="G425" t="str">
        <f ca="1">VLOOKUP(RAND(),{0,"Lucas";0.39,"Roberto";0.63,"Carla";0.78,"Pedro";0.93,"Emilly"},2,TRUE)</f>
        <v>Lucas</v>
      </c>
      <c r="H425">
        <v>1</v>
      </c>
      <c r="I425">
        <v>7750</v>
      </c>
      <c r="J425">
        <v>0.4</v>
      </c>
      <c r="K425">
        <f>PRODUCT(TabelaVendas1__2[[#This Row],[Valor_UnitarioXQtd]],TabelaVendas1__2[[#This Row],[Percentual_Lucro]])</f>
        <v>3100</v>
      </c>
      <c r="L425">
        <v>7750</v>
      </c>
      <c r="M425">
        <f>PRODUCT(TabelaVendas1__2[[#This Row],[Quantidade]],TabelaVendas1__2[[#This Row],[Valor_Unitario]])</f>
        <v>7750</v>
      </c>
      <c r="N425">
        <f>SUM(TabelaVendas1__2[[#This Row],[Valor_UnitarioXQtd]],TabelaVendas1__2[[#This Row],[Valor_Lucro]])</f>
        <v>10850</v>
      </c>
      <c r="O425" s="2" t="s">
        <v>20</v>
      </c>
    </row>
    <row r="426" spans="1:15">
      <c r="A426" t="s">
        <v>256</v>
      </c>
      <c r="B426" t="s">
        <v>22</v>
      </c>
      <c r="C426" t="s">
        <v>33</v>
      </c>
      <c r="D426" t="s">
        <v>34</v>
      </c>
      <c r="E426" s="1">
        <v>45349</v>
      </c>
      <c r="F426" t="s">
        <v>19</v>
      </c>
      <c r="G426" t="str">
        <f ca="1">VLOOKUP(RAND(),{0,"Lucas";0.39,"Roberto";0.63,"Carla";0.78,"Pedro";0.93,"Emilly"},2,TRUE)</f>
        <v>Lucas</v>
      </c>
      <c r="H426">
        <v>1</v>
      </c>
      <c r="I426">
        <v>2550</v>
      </c>
      <c r="J426">
        <v>0.4</v>
      </c>
      <c r="K426">
        <f>PRODUCT(TabelaVendas1__2[[#This Row],[Valor_UnitarioXQtd]],TabelaVendas1__2[[#This Row],[Percentual_Lucro]])</f>
        <v>1020</v>
      </c>
      <c r="L426">
        <v>2550</v>
      </c>
      <c r="M426">
        <f>PRODUCT(TabelaVendas1__2[[#This Row],[Quantidade]],TabelaVendas1__2[[#This Row],[Valor_Unitario]])</f>
        <v>2550</v>
      </c>
      <c r="N426">
        <f>SUM(TabelaVendas1__2[[#This Row],[Valor_UnitarioXQtd]],TabelaVendas1__2[[#This Row],[Valor_Lucro]])</f>
        <v>3570</v>
      </c>
      <c r="O426" s="2" t="s">
        <v>35</v>
      </c>
    </row>
    <row r="427" spans="1:15">
      <c r="A427" t="s">
        <v>257</v>
      </c>
      <c r="B427" t="s">
        <v>22</v>
      </c>
      <c r="C427" t="s">
        <v>23</v>
      </c>
      <c r="D427" t="s">
        <v>42</v>
      </c>
      <c r="E427" s="1">
        <v>45377</v>
      </c>
      <c r="F427" t="s">
        <v>30</v>
      </c>
      <c r="G427" t="str">
        <f ca="1">VLOOKUP(RAND(),{0,"Lucas";0.39,"Roberto";0.63,"Carla";0.78,"Pedro";0.93,"Emilly"},2,TRUE)</f>
        <v>Lucas</v>
      </c>
      <c r="H427">
        <v>1</v>
      </c>
      <c r="I427">
        <v>1400</v>
      </c>
      <c r="J427">
        <v>0.4</v>
      </c>
      <c r="K427">
        <f>PRODUCT(TabelaVendas1__2[[#This Row],[Valor_UnitarioXQtd]],TabelaVendas1__2[[#This Row],[Percentual_Lucro]])</f>
        <v>560</v>
      </c>
      <c r="L427">
        <v>1400</v>
      </c>
      <c r="M427">
        <f>PRODUCT(TabelaVendas1__2[[#This Row],[Quantidade]],TabelaVendas1__2[[#This Row],[Valor_Unitario]])</f>
        <v>1400</v>
      </c>
      <c r="N427">
        <f>SUM(TabelaVendas1__2[[#This Row],[Valor_UnitarioXQtd]],TabelaVendas1__2[[#This Row],[Valor_Lucro]])</f>
        <v>1960</v>
      </c>
      <c r="O427" s="2" t="s">
        <v>43</v>
      </c>
    </row>
    <row r="428" spans="1:15">
      <c r="A428" t="s">
        <v>258</v>
      </c>
      <c r="B428" t="s">
        <v>22</v>
      </c>
      <c r="C428" t="s">
        <v>23</v>
      </c>
      <c r="D428" t="s">
        <v>42</v>
      </c>
      <c r="E428" s="1">
        <v>45377</v>
      </c>
      <c r="F428" t="s">
        <v>27</v>
      </c>
      <c r="G428" t="str">
        <f ca="1">VLOOKUP(RAND(),{0,"Lucas";0.39,"Roberto";0.63,"Carla";0.78,"Pedro";0.93,"Emilly"},2,TRUE)</f>
        <v>Lucas</v>
      </c>
      <c r="H428">
        <v>1</v>
      </c>
      <c r="I428">
        <v>4100</v>
      </c>
      <c r="J428">
        <v>0.4</v>
      </c>
      <c r="K428">
        <f>PRODUCT(TabelaVendas1__2[[#This Row],[Valor_UnitarioXQtd]],TabelaVendas1__2[[#This Row],[Percentual_Lucro]])</f>
        <v>1640</v>
      </c>
      <c r="L428">
        <v>4100</v>
      </c>
      <c r="M428">
        <f>PRODUCT(TabelaVendas1__2[[#This Row],[Quantidade]],TabelaVendas1__2[[#This Row],[Valor_Unitario]])</f>
        <v>4100</v>
      </c>
      <c r="N428">
        <f>SUM(TabelaVendas1__2[[#This Row],[Valor_UnitarioXQtd]],TabelaVendas1__2[[#This Row],[Valor_Lucro]])</f>
        <v>5740</v>
      </c>
      <c r="O428" s="2" t="s">
        <v>43</v>
      </c>
    </row>
    <row r="429" spans="1:15">
      <c r="A429" t="s">
        <v>209</v>
      </c>
      <c r="B429" t="s">
        <v>51</v>
      </c>
      <c r="C429" t="s">
        <v>17</v>
      </c>
      <c r="D429" t="s">
        <v>24</v>
      </c>
      <c r="E429" s="1">
        <v>45377</v>
      </c>
      <c r="F429" t="s">
        <v>27</v>
      </c>
      <c r="G429" t="str">
        <f ca="1">VLOOKUP(RAND(),{0,"Lucas";0.39,"Roberto";0.63,"Carla";0.78,"Pedro";0.93,"Emilly"},2,TRUE)</f>
        <v>Carla</v>
      </c>
      <c r="H429">
        <v>1</v>
      </c>
      <c r="I429">
        <v>7500</v>
      </c>
      <c r="J429">
        <v>0.4</v>
      </c>
      <c r="K429">
        <f>PRODUCT(TabelaVendas1__2[[#This Row],[Valor_UnitarioXQtd]],TabelaVendas1__2[[#This Row],[Percentual_Lucro]])</f>
        <v>3000</v>
      </c>
      <c r="L429">
        <v>7500</v>
      </c>
      <c r="M429">
        <f>PRODUCT(TabelaVendas1__2[[#This Row],[Quantidade]],TabelaVendas1__2[[#This Row],[Valor_Unitario]])</f>
        <v>7500</v>
      </c>
      <c r="N429">
        <f>SUM(TabelaVendas1__2[[#This Row],[Valor_UnitarioXQtd]],TabelaVendas1__2[[#This Row],[Valor_Lucro]])</f>
        <v>10500</v>
      </c>
      <c r="O429" s="2" t="s">
        <v>25</v>
      </c>
    </row>
    <row r="430" spans="1:15">
      <c r="A430" t="s">
        <v>259</v>
      </c>
      <c r="B430" t="s">
        <v>22</v>
      </c>
      <c r="C430" t="s">
        <v>23</v>
      </c>
      <c r="D430" t="s">
        <v>34</v>
      </c>
      <c r="E430" s="1">
        <v>45377</v>
      </c>
      <c r="F430" t="s">
        <v>30</v>
      </c>
      <c r="G430" t="str">
        <f ca="1">VLOOKUP(RAND(),{0,"Lucas";0.39,"Roberto";0.63,"Carla";0.78,"Pedro";0.93,"Emilly"},2,TRUE)</f>
        <v>Roberto</v>
      </c>
      <c r="H430">
        <v>1</v>
      </c>
      <c r="I430">
        <v>1750</v>
      </c>
      <c r="J430">
        <v>0.4</v>
      </c>
      <c r="K430">
        <f>PRODUCT(TabelaVendas1__2[[#This Row],[Valor_UnitarioXQtd]],TabelaVendas1__2[[#This Row],[Percentual_Lucro]])</f>
        <v>700</v>
      </c>
      <c r="L430">
        <v>1750</v>
      </c>
      <c r="M430">
        <f>PRODUCT(TabelaVendas1__2[[#This Row],[Quantidade]],TabelaVendas1__2[[#This Row],[Valor_Unitario]])</f>
        <v>1750</v>
      </c>
      <c r="N430">
        <f>SUM(TabelaVendas1__2[[#This Row],[Valor_UnitarioXQtd]],TabelaVendas1__2[[#This Row],[Valor_Lucro]])</f>
        <v>2450</v>
      </c>
      <c r="O430" s="2" t="s">
        <v>35</v>
      </c>
    </row>
    <row r="431" spans="1:15">
      <c r="A431" t="s">
        <v>93</v>
      </c>
      <c r="B431" t="s">
        <v>22</v>
      </c>
      <c r="C431" t="s">
        <v>23</v>
      </c>
      <c r="D431" t="s">
        <v>34</v>
      </c>
      <c r="E431" s="1">
        <v>45377</v>
      </c>
      <c r="F431" t="s">
        <v>30</v>
      </c>
      <c r="G431" t="str">
        <f ca="1">VLOOKUP(RAND(),{0,"Lucas";0.39,"Roberto";0.63,"Carla";0.78,"Pedro";0.93,"Emilly"},2,TRUE)</f>
        <v>Pedro</v>
      </c>
      <c r="H431">
        <v>1</v>
      </c>
      <c r="I431">
        <v>3300</v>
      </c>
      <c r="J431">
        <v>0.4</v>
      </c>
      <c r="K431">
        <f>PRODUCT(TabelaVendas1__2[[#This Row],[Valor_UnitarioXQtd]],TabelaVendas1__2[[#This Row],[Percentual_Lucro]])</f>
        <v>1320</v>
      </c>
      <c r="L431">
        <v>3300</v>
      </c>
      <c r="M431">
        <f>PRODUCT(TabelaVendas1__2[[#This Row],[Quantidade]],TabelaVendas1__2[[#This Row],[Valor_Unitario]])</f>
        <v>3300</v>
      </c>
      <c r="N431">
        <f>SUM(TabelaVendas1__2[[#This Row],[Valor_UnitarioXQtd]],TabelaVendas1__2[[#This Row],[Valor_Lucro]])</f>
        <v>4620</v>
      </c>
      <c r="O431" s="2" t="s">
        <v>35</v>
      </c>
    </row>
    <row r="432" spans="1:15">
      <c r="A432" t="s">
        <v>162</v>
      </c>
      <c r="B432" t="s">
        <v>16</v>
      </c>
      <c r="C432" t="s">
        <v>17</v>
      </c>
      <c r="D432" t="s">
        <v>34</v>
      </c>
      <c r="E432" s="1">
        <v>45377</v>
      </c>
      <c r="F432" t="s">
        <v>30</v>
      </c>
      <c r="G432" t="str">
        <f ca="1">VLOOKUP(RAND(),{0,"Lucas";0.39,"Roberto";0.63,"Carla";0.78,"Pedro";0.93,"Emilly"},2,TRUE)</f>
        <v>Lucas</v>
      </c>
      <c r="H432">
        <v>1</v>
      </c>
      <c r="I432">
        <v>2500</v>
      </c>
      <c r="J432">
        <v>0.4</v>
      </c>
      <c r="K432">
        <f>PRODUCT(TabelaVendas1__2[[#This Row],[Valor_UnitarioXQtd]],TabelaVendas1__2[[#This Row],[Percentual_Lucro]])</f>
        <v>1000</v>
      </c>
      <c r="L432">
        <v>2500</v>
      </c>
      <c r="M432">
        <f>PRODUCT(TabelaVendas1__2[[#This Row],[Quantidade]],TabelaVendas1__2[[#This Row],[Valor_Unitario]])</f>
        <v>2500</v>
      </c>
      <c r="N432">
        <f>SUM(TabelaVendas1__2[[#This Row],[Valor_UnitarioXQtd]],TabelaVendas1__2[[#This Row],[Valor_Lucro]])</f>
        <v>3500</v>
      </c>
      <c r="O432" s="2" t="s">
        <v>35</v>
      </c>
    </row>
    <row r="433" spans="1:15">
      <c r="A433" t="s">
        <v>260</v>
      </c>
      <c r="B433" t="s">
        <v>16</v>
      </c>
      <c r="C433" t="s">
        <v>17</v>
      </c>
      <c r="D433" t="s">
        <v>24</v>
      </c>
      <c r="E433" s="1">
        <v>45407</v>
      </c>
      <c r="F433" t="s">
        <v>30</v>
      </c>
      <c r="G433" t="str">
        <f ca="1">VLOOKUP(RAND(),{0,"Lucas";0.39,"Roberto";0.63,"Carla";0.78,"Pedro";0.93,"Emilly"},2,TRUE)</f>
        <v>Carla</v>
      </c>
      <c r="H433">
        <v>1</v>
      </c>
      <c r="I433">
        <v>7600</v>
      </c>
      <c r="J433">
        <v>0.4</v>
      </c>
      <c r="K433">
        <f>PRODUCT(TabelaVendas1__2[[#This Row],[Valor_UnitarioXQtd]],TabelaVendas1__2[[#This Row],[Percentual_Lucro]])</f>
        <v>3040</v>
      </c>
      <c r="L433">
        <v>7600</v>
      </c>
      <c r="M433">
        <f>PRODUCT(TabelaVendas1__2[[#This Row],[Quantidade]],TabelaVendas1__2[[#This Row],[Valor_Unitario]])</f>
        <v>7600</v>
      </c>
      <c r="N433">
        <f>SUM(TabelaVendas1__2[[#This Row],[Valor_UnitarioXQtd]],TabelaVendas1__2[[#This Row],[Valor_Lucro]])</f>
        <v>10640</v>
      </c>
      <c r="O433" s="2" t="s">
        <v>25</v>
      </c>
    </row>
    <row r="434" spans="1:15">
      <c r="A434" t="s">
        <v>64</v>
      </c>
      <c r="B434" t="s">
        <v>22</v>
      </c>
      <c r="C434" t="s">
        <v>23</v>
      </c>
      <c r="D434" t="s">
        <v>18</v>
      </c>
      <c r="E434" s="1">
        <v>45407</v>
      </c>
      <c r="F434" t="s">
        <v>30</v>
      </c>
      <c r="G434" t="str">
        <f ca="1">VLOOKUP(RAND(),{0,"Lucas";0.39,"Roberto";0.63,"Carla";0.78,"Pedro";0.93,"Emilly"},2,TRUE)</f>
        <v>Lucas</v>
      </c>
      <c r="H434">
        <v>1</v>
      </c>
      <c r="I434">
        <v>3450</v>
      </c>
      <c r="J434">
        <v>0.4</v>
      </c>
      <c r="K434">
        <f>PRODUCT(TabelaVendas1__2[[#This Row],[Valor_UnitarioXQtd]],TabelaVendas1__2[[#This Row],[Percentual_Lucro]])</f>
        <v>1380</v>
      </c>
      <c r="L434">
        <v>3450</v>
      </c>
      <c r="M434">
        <f>PRODUCT(TabelaVendas1__2[[#This Row],[Quantidade]],TabelaVendas1__2[[#This Row],[Valor_Unitario]])</f>
        <v>3450</v>
      </c>
      <c r="N434">
        <f>SUM(TabelaVendas1__2[[#This Row],[Valor_UnitarioXQtd]],TabelaVendas1__2[[#This Row],[Valor_Lucro]])</f>
        <v>4830</v>
      </c>
      <c r="O434" s="2" t="s">
        <v>20</v>
      </c>
    </row>
    <row r="435" spans="1:15">
      <c r="A435" t="s">
        <v>261</v>
      </c>
      <c r="B435" t="s">
        <v>22</v>
      </c>
      <c r="C435" t="s">
        <v>23</v>
      </c>
      <c r="D435" t="s">
        <v>18</v>
      </c>
      <c r="E435" s="1">
        <v>45407</v>
      </c>
      <c r="F435" t="s">
        <v>27</v>
      </c>
      <c r="G435" t="str">
        <f ca="1">VLOOKUP(RAND(),{0,"Lucas";0.39,"Roberto";0.63,"Carla";0.78,"Pedro";0.93,"Emilly"},2,TRUE)</f>
        <v>Lucas</v>
      </c>
      <c r="H435">
        <v>1</v>
      </c>
      <c r="I435">
        <v>5000</v>
      </c>
      <c r="J435">
        <v>0.4</v>
      </c>
      <c r="K435">
        <f>PRODUCT(TabelaVendas1__2[[#This Row],[Valor_UnitarioXQtd]],TabelaVendas1__2[[#This Row],[Percentual_Lucro]])</f>
        <v>2000</v>
      </c>
      <c r="L435">
        <v>5000</v>
      </c>
      <c r="M435">
        <f>PRODUCT(TabelaVendas1__2[[#This Row],[Quantidade]],TabelaVendas1__2[[#This Row],[Valor_Unitario]])</f>
        <v>5000</v>
      </c>
      <c r="N435">
        <f>SUM(TabelaVendas1__2[[#This Row],[Valor_UnitarioXQtd]],TabelaVendas1__2[[#This Row],[Valor_Lucro]])</f>
        <v>7000</v>
      </c>
      <c r="O435" s="2" t="s">
        <v>20</v>
      </c>
    </row>
    <row r="436" spans="1:15">
      <c r="A436" t="s">
        <v>262</v>
      </c>
      <c r="B436" t="s">
        <v>22</v>
      </c>
      <c r="C436" t="s">
        <v>23</v>
      </c>
      <c r="D436" t="s">
        <v>29</v>
      </c>
      <c r="E436" s="1">
        <v>45407</v>
      </c>
      <c r="F436" t="s">
        <v>27</v>
      </c>
      <c r="G436" t="str">
        <f ca="1">VLOOKUP(RAND(),{0,"Lucas";0.39,"Roberto";0.63,"Carla";0.78,"Pedro";0.93,"Emilly"},2,TRUE)</f>
        <v>Emilly</v>
      </c>
      <c r="H436">
        <v>1</v>
      </c>
      <c r="I436">
        <v>2100</v>
      </c>
      <c r="J436">
        <v>0.4</v>
      </c>
      <c r="K436">
        <f>PRODUCT(TabelaVendas1__2[[#This Row],[Valor_UnitarioXQtd]],TabelaVendas1__2[[#This Row],[Percentual_Lucro]])</f>
        <v>840</v>
      </c>
      <c r="L436">
        <v>2100</v>
      </c>
      <c r="M436">
        <f>PRODUCT(TabelaVendas1__2[[#This Row],[Quantidade]],TabelaVendas1__2[[#This Row],[Valor_Unitario]])</f>
        <v>2100</v>
      </c>
      <c r="N436">
        <f>SUM(TabelaVendas1__2[[#This Row],[Valor_UnitarioXQtd]],TabelaVendas1__2[[#This Row],[Valor_Lucro]])</f>
        <v>2940</v>
      </c>
      <c r="O436" s="2" t="s">
        <v>31</v>
      </c>
    </row>
    <row r="437" spans="1:15">
      <c r="A437" t="s">
        <v>263</v>
      </c>
      <c r="B437" t="s">
        <v>22</v>
      </c>
      <c r="C437" t="s">
        <v>23</v>
      </c>
      <c r="D437" t="s">
        <v>42</v>
      </c>
      <c r="E437" s="1">
        <v>45439</v>
      </c>
      <c r="F437" t="s">
        <v>19</v>
      </c>
      <c r="G437" t="str">
        <f ca="1">VLOOKUP(RAND(),{0,"Lucas";0.39,"Roberto";0.63,"Carla";0.78,"Pedro";0.93,"Emilly"},2,TRUE)</f>
        <v>Lucas</v>
      </c>
      <c r="H437">
        <v>1</v>
      </c>
      <c r="I437">
        <v>430</v>
      </c>
      <c r="J437">
        <v>0.4</v>
      </c>
      <c r="K437">
        <f>PRODUCT(TabelaVendas1__2[[#This Row],[Valor_UnitarioXQtd]],TabelaVendas1__2[[#This Row],[Percentual_Lucro]])</f>
        <v>172</v>
      </c>
      <c r="L437">
        <v>430</v>
      </c>
      <c r="M437">
        <f>PRODUCT(TabelaVendas1__2[[#This Row],[Quantidade]],TabelaVendas1__2[[#This Row],[Valor_Unitario]])</f>
        <v>430</v>
      </c>
      <c r="N437">
        <f>SUM(TabelaVendas1__2[[#This Row],[Valor_UnitarioXQtd]],TabelaVendas1__2[[#This Row],[Valor_Lucro]])</f>
        <v>602</v>
      </c>
      <c r="O437" s="2" t="s">
        <v>43</v>
      </c>
    </row>
    <row r="438" spans="1:15">
      <c r="A438" t="s">
        <v>66</v>
      </c>
      <c r="B438" t="s">
        <v>22</v>
      </c>
      <c r="C438" t="s">
        <v>23</v>
      </c>
      <c r="D438" t="s">
        <v>24</v>
      </c>
      <c r="E438" s="1">
        <v>45439</v>
      </c>
      <c r="F438" t="s">
        <v>30</v>
      </c>
      <c r="G438" t="str">
        <f ca="1">VLOOKUP(RAND(),{0,"Lucas";0.39,"Roberto";0.63,"Carla";0.78,"Pedro";0.93,"Emilly"},2,TRUE)</f>
        <v>Carla</v>
      </c>
      <c r="H438">
        <v>1</v>
      </c>
      <c r="I438">
        <v>5000</v>
      </c>
      <c r="J438">
        <v>0.4</v>
      </c>
      <c r="K438">
        <f>PRODUCT(TabelaVendas1__2[[#This Row],[Valor_UnitarioXQtd]],TabelaVendas1__2[[#This Row],[Percentual_Lucro]])</f>
        <v>2000</v>
      </c>
      <c r="L438">
        <v>5000</v>
      </c>
      <c r="M438">
        <f>PRODUCT(TabelaVendas1__2[[#This Row],[Quantidade]],TabelaVendas1__2[[#This Row],[Valor_Unitario]])</f>
        <v>5000</v>
      </c>
      <c r="N438">
        <f>SUM(TabelaVendas1__2[[#This Row],[Valor_UnitarioXQtd]],TabelaVendas1__2[[#This Row],[Valor_Lucro]])</f>
        <v>7000</v>
      </c>
      <c r="O438" s="2" t="s">
        <v>25</v>
      </c>
    </row>
    <row r="439" spans="1:15">
      <c r="A439" t="s">
        <v>91</v>
      </c>
      <c r="B439" t="s">
        <v>22</v>
      </c>
      <c r="C439" t="s">
        <v>23</v>
      </c>
      <c r="D439" t="s">
        <v>18</v>
      </c>
      <c r="E439" s="1">
        <v>45439</v>
      </c>
      <c r="F439" t="s">
        <v>27</v>
      </c>
      <c r="G439" t="str">
        <f ca="1">VLOOKUP(RAND(),{0,"Lucas";0.39,"Roberto";0.63,"Carla";0.78,"Pedro";0.93,"Emilly"},2,TRUE)</f>
        <v>Roberto</v>
      </c>
      <c r="H439">
        <v>2</v>
      </c>
      <c r="I439">
        <v>1800</v>
      </c>
      <c r="J439">
        <v>0.4</v>
      </c>
      <c r="K439">
        <f>PRODUCT(TabelaVendas1__2[[#This Row],[Valor_UnitarioXQtd]],TabelaVendas1__2[[#This Row],[Percentual_Lucro]])</f>
        <v>1440</v>
      </c>
      <c r="L439">
        <v>3600</v>
      </c>
      <c r="M439">
        <f>PRODUCT(TabelaVendas1__2[[#This Row],[Quantidade]],TabelaVendas1__2[[#This Row],[Valor_Unitario]])</f>
        <v>3600</v>
      </c>
      <c r="N439">
        <f>SUM(TabelaVendas1__2[[#This Row],[Valor_UnitarioXQtd]],TabelaVendas1__2[[#This Row],[Valor_Lucro]])</f>
        <v>5040</v>
      </c>
      <c r="O439" s="2" t="s">
        <v>20</v>
      </c>
    </row>
    <row r="440" spans="1:15">
      <c r="A440" t="s">
        <v>139</v>
      </c>
      <c r="B440" t="s">
        <v>22</v>
      </c>
      <c r="C440" t="s">
        <v>23</v>
      </c>
      <c r="D440" t="s">
        <v>18</v>
      </c>
      <c r="E440" s="1">
        <v>45439</v>
      </c>
      <c r="F440" t="s">
        <v>27</v>
      </c>
      <c r="G440" t="str">
        <f ca="1">VLOOKUP(RAND(),{0,"Lucas";0.39,"Roberto";0.63,"Carla";0.78,"Pedro";0.93,"Emilly"},2,TRUE)</f>
        <v>Lucas</v>
      </c>
      <c r="H440">
        <v>1</v>
      </c>
      <c r="I440">
        <v>2300</v>
      </c>
      <c r="J440">
        <v>0.4</v>
      </c>
      <c r="K440">
        <f>PRODUCT(TabelaVendas1__2[[#This Row],[Valor_UnitarioXQtd]],TabelaVendas1__2[[#This Row],[Percentual_Lucro]])</f>
        <v>920</v>
      </c>
      <c r="L440">
        <v>2300</v>
      </c>
      <c r="M440">
        <f>PRODUCT(TabelaVendas1__2[[#This Row],[Quantidade]],TabelaVendas1__2[[#This Row],[Valor_Unitario]])</f>
        <v>2300</v>
      </c>
      <c r="N440">
        <f>SUM(TabelaVendas1__2[[#This Row],[Valor_UnitarioXQtd]],TabelaVendas1__2[[#This Row],[Valor_Lucro]])</f>
        <v>3220</v>
      </c>
      <c r="O440" s="2" t="s">
        <v>20</v>
      </c>
    </row>
    <row r="441" spans="1:15">
      <c r="A441" t="s">
        <v>144</v>
      </c>
      <c r="B441" t="s">
        <v>22</v>
      </c>
      <c r="C441" t="s">
        <v>23</v>
      </c>
      <c r="D441" t="s">
        <v>126</v>
      </c>
      <c r="E441" s="1">
        <v>45439</v>
      </c>
      <c r="F441" t="s">
        <v>30</v>
      </c>
      <c r="G441" t="str">
        <f ca="1">VLOOKUP(RAND(),{0,"Lucas";0.39,"Roberto";0.63,"Carla";0.78,"Pedro";0.93,"Emilly"},2,TRUE)</f>
        <v>Roberto</v>
      </c>
      <c r="H441">
        <v>2</v>
      </c>
      <c r="I441">
        <v>900</v>
      </c>
      <c r="J441">
        <v>0.4</v>
      </c>
      <c r="K441">
        <f>PRODUCT(TabelaVendas1__2[[#This Row],[Valor_UnitarioXQtd]],TabelaVendas1__2[[#This Row],[Percentual_Lucro]])</f>
        <v>720</v>
      </c>
      <c r="L441">
        <v>1800</v>
      </c>
      <c r="M441">
        <f>PRODUCT(TabelaVendas1__2[[#This Row],[Quantidade]],TabelaVendas1__2[[#This Row],[Valor_Unitario]])</f>
        <v>1800</v>
      </c>
      <c r="N441">
        <f>SUM(TabelaVendas1__2[[#This Row],[Valor_UnitarioXQtd]],TabelaVendas1__2[[#This Row],[Valor_Lucro]])</f>
        <v>2520</v>
      </c>
      <c r="O441" s="2" t="s">
        <v>127</v>
      </c>
    </row>
    <row r="442" spans="1:15">
      <c r="A442" t="s">
        <v>168</v>
      </c>
      <c r="B442" t="s">
        <v>22</v>
      </c>
      <c r="C442" t="s">
        <v>33</v>
      </c>
      <c r="D442" t="s">
        <v>29</v>
      </c>
      <c r="E442" s="1">
        <v>45439</v>
      </c>
      <c r="F442" t="s">
        <v>27</v>
      </c>
      <c r="G442" t="str">
        <f ca="1">VLOOKUP(RAND(),{0,"Lucas";0.39,"Roberto";0.63,"Carla";0.78,"Pedro";0.93,"Emilly"},2,TRUE)</f>
        <v>Pedro</v>
      </c>
      <c r="H442">
        <v>1</v>
      </c>
      <c r="I442">
        <v>760</v>
      </c>
      <c r="J442">
        <v>0.4</v>
      </c>
      <c r="K442">
        <f>PRODUCT(TabelaVendas1__2[[#This Row],[Valor_UnitarioXQtd]],TabelaVendas1__2[[#This Row],[Percentual_Lucro]])</f>
        <v>304</v>
      </c>
      <c r="L442">
        <v>760</v>
      </c>
      <c r="M442">
        <f>PRODUCT(TabelaVendas1__2[[#This Row],[Quantidade]],TabelaVendas1__2[[#This Row],[Valor_Unitario]])</f>
        <v>760</v>
      </c>
      <c r="N442">
        <f>SUM(TabelaVendas1__2[[#This Row],[Valor_UnitarioXQtd]],TabelaVendas1__2[[#This Row],[Valor_Lucro]])</f>
        <v>1064</v>
      </c>
      <c r="O442" s="2" t="s">
        <v>31</v>
      </c>
    </row>
    <row r="443" spans="1:15">
      <c r="A443" t="s">
        <v>181</v>
      </c>
      <c r="B443" t="s">
        <v>22</v>
      </c>
      <c r="C443" t="s">
        <v>23</v>
      </c>
      <c r="D443" t="s">
        <v>34</v>
      </c>
      <c r="E443" s="1">
        <v>45439</v>
      </c>
      <c r="F443" t="s">
        <v>19</v>
      </c>
      <c r="G443" t="str">
        <f ca="1">VLOOKUP(RAND(),{0,"Lucas";0.39,"Roberto";0.63,"Carla";0.78,"Pedro";0.93,"Emilly"},2,TRUE)</f>
        <v>Lucas</v>
      </c>
      <c r="H443">
        <v>1</v>
      </c>
      <c r="I443">
        <v>2050</v>
      </c>
      <c r="J443">
        <v>0.4</v>
      </c>
      <c r="K443">
        <f>PRODUCT(TabelaVendas1__2[[#This Row],[Valor_UnitarioXQtd]],TabelaVendas1__2[[#This Row],[Percentual_Lucro]])</f>
        <v>820</v>
      </c>
      <c r="L443">
        <v>2050</v>
      </c>
      <c r="M443">
        <f>PRODUCT(TabelaVendas1__2[[#This Row],[Quantidade]],TabelaVendas1__2[[#This Row],[Valor_Unitario]])</f>
        <v>2050</v>
      </c>
      <c r="N443">
        <f>SUM(TabelaVendas1__2[[#This Row],[Valor_UnitarioXQtd]],TabelaVendas1__2[[#This Row],[Valor_Lucro]])</f>
        <v>2870</v>
      </c>
      <c r="O443" s="2" t="s">
        <v>35</v>
      </c>
    </row>
    <row r="444" spans="1:15">
      <c r="A444" t="s">
        <v>194</v>
      </c>
      <c r="B444" t="s">
        <v>51</v>
      </c>
      <c r="C444" t="s">
        <v>17</v>
      </c>
      <c r="D444" t="s">
        <v>29</v>
      </c>
      <c r="E444" s="1">
        <v>45448</v>
      </c>
      <c r="F444" t="s">
        <v>27</v>
      </c>
      <c r="G444" t="str">
        <f ca="1">VLOOKUP(RAND(),{0,"Lucas";0.39,"Roberto";0.63,"Carla";0.78,"Pedro";0.93,"Emilly"},2,TRUE)</f>
        <v>Roberto</v>
      </c>
      <c r="H444">
        <v>1</v>
      </c>
      <c r="I444">
        <v>560</v>
      </c>
      <c r="J444">
        <v>0.4</v>
      </c>
      <c r="K444">
        <f>PRODUCT(TabelaVendas1__2[[#This Row],[Valor_UnitarioXQtd]],TabelaVendas1__2[[#This Row],[Percentual_Lucro]])</f>
        <v>224</v>
      </c>
      <c r="L444">
        <v>560</v>
      </c>
      <c r="M444">
        <f>PRODUCT(TabelaVendas1__2[[#This Row],[Quantidade]],TabelaVendas1__2[[#This Row],[Valor_Unitario]])</f>
        <v>560</v>
      </c>
      <c r="N444">
        <f>SUM(TabelaVendas1__2[[#This Row],[Valor_UnitarioXQtd]],TabelaVendas1__2[[#This Row],[Valor_Lucro]])</f>
        <v>784</v>
      </c>
      <c r="O444" s="2" t="s">
        <v>31</v>
      </c>
    </row>
    <row r="445" spans="1:15">
      <c r="A445" t="s">
        <v>66</v>
      </c>
      <c r="B445" t="s">
        <v>22</v>
      </c>
      <c r="C445" t="s">
        <v>23</v>
      </c>
      <c r="D445" t="s">
        <v>24</v>
      </c>
      <c r="E445" s="1">
        <v>45468</v>
      </c>
      <c r="F445" t="s">
        <v>19</v>
      </c>
      <c r="G445" t="str">
        <f ca="1">VLOOKUP(RAND(),{0,"Lucas";0.39,"Roberto";0.63,"Carla";0.78,"Pedro";0.93,"Emilly"},2,TRUE)</f>
        <v>Lucas</v>
      </c>
      <c r="H445">
        <v>1</v>
      </c>
      <c r="I445">
        <v>8550</v>
      </c>
      <c r="J445">
        <v>0.4</v>
      </c>
      <c r="K445">
        <f>PRODUCT(TabelaVendas1__2[[#This Row],[Valor_UnitarioXQtd]],TabelaVendas1__2[[#This Row],[Percentual_Lucro]])</f>
        <v>3420</v>
      </c>
      <c r="L445">
        <v>8550</v>
      </c>
      <c r="M445">
        <f>PRODUCT(TabelaVendas1__2[[#This Row],[Quantidade]],TabelaVendas1__2[[#This Row],[Valor_Unitario]])</f>
        <v>8550</v>
      </c>
      <c r="N445">
        <f>SUM(TabelaVendas1__2[[#This Row],[Valor_UnitarioXQtd]],TabelaVendas1__2[[#This Row],[Valor_Lucro]])</f>
        <v>11970</v>
      </c>
      <c r="O445" s="2" t="s">
        <v>25</v>
      </c>
    </row>
    <row r="446" spans="1:15">
      <c r="A446" t="s">
        <v>226</v>
      </c>
      <c r="B446" t="s">
        <v>16</v>
      </c>
      <c r="C446" t="s">
        <v>17</v>
      </c>
      <c r="D446" t="s">
        <v>24</v>
      </c>
      <c r="E446" s="1">
        <v>45468</v>
      </c>
      <c r="F446" t="s">
        <v>19</v>
      </c>
      <c r="G446" t="str">
        <f ca="1">VLOOKUP(RAND(),{0,"Lucas";0.39,"Roberto";0.63,"Carla";0.78,"Pedro";0.93,"Emilly"},2,TRUE)</f>
        <v>Lucas</v>
      </c>
      <c r="H446">
        <v>1</v>
      </c>
      <c r="I446">
        <v>9600</v>
      </c>
      <c r="J446">
        <v>0.4</v>
      </c>
      <c r="K446">
        <f>PRODUCT(TabelaVendas1__2[[#This Row],[Valor_UnitarioXQtd]],TabelaVendas1__2[[#This Row],[Percentual_Lucro]])</f>
        <v>3840</v>
      </c>
      <c r="L446">
        <v>9600</v>
      </c>
      <c r="M446">
        <f>PRODUCT(TabelaVendas1__2[[#This Row],[Quantidade]],TabelaVendas1__2[[#This Row],[Valor_Unitario]])</f>
        <v>9600</v>
      </c>
      <c r="N446">
        <f>SUM(TabelaVendas1__2[[#This Row],[Valor_UnitarioXQtd]],TabelaVendas1__2[[#This Row],[Valor_Lucro]])</f>
        <v>13440</v>
      </c>
      <c r="O446" s="2" t="s">
        <v>25</v>
      </c>
    </row>
    <row r="447" spans="1:15">
      <c r="A447" t="s">
        <v>120</v>
      </c>
      <c r="B447" t="s">
        <v>22</v>
      </c>
      <c r="C447" t="s">
        <v>23</v>
      </c>
      <c r="D447" t="s">
        <v>121</v>
      </c>
      <c r="E447" s="1">
        <v>45499</v>
      </c>
      <c r="F447" t="s">
        <v>19</v>
      </c>
      <c r="G447" t="str">
        <f ca="1">VLOOKUP(RAND(),{0,"Lucas";0.39,"Roberto";0.63,"Carla";0.78,"Pedro";0.93,"Emilly"},2,TRUE)</f>
        <v>Emilly</v>
      </c>
      <c r="H447">
        <v>1</v>
      </c>
      <c r="I447">
        <v>810</v>
      </c>
      <c r="J447">
        <v>0.4</v>
      </c>
      <c r="K447">
        <f>PRODUCT(TabelaVendas1__2[[#This Row],[Valor_UnitarioXQtd]],TabelaVendas1__2[[#This Row],[Percentual_Lucro]])</f>
        <v>324</v>
      </c>
      <c r="L447">
        <v>810</v>
      </c>
      <c r="M447">
        <f>PRODUCT(TabelaVendas1__2[[#This Row],[Quantidade]],TabelaVendas1__2[[#This Row],[Valor_Unitario]])</f>
        <v>810</v>
      </c>
      <c r="N447">
        <f>SUM(TabelaVendas1__2[[#This Row],[Valor_UnitarioXQtd]],TabelaVendas1__2[[#This Row],[Valor_Lucro]])</f>
        <v>1134</v>
      </c>
      <c r="O447" s="2" t="s">
        <v>122</v>
      </c>
    </row>
    <row r="448" spans="1:15">
      <c r="A448" t="s">
        <v>120</v>
      </c>
      <c r="B448" t="s">
        <v>51</v>
      </c>
      <c r="C448" t="s">
        <v>17</v>
      </c>
      <c r="D448" t="s">
        <v>121</v>
      </c>
      <c r="E448" s="1">
        <v>45499</v>
      </c>
      <c r="F448" t="s">
        <v>19</v>
      </c>
      <c r="G448" t="str">
        <f ca="1">VLOOKUP(RAND(),{0,"Lucas";0.39,"Roberto";0.63,"Carla";0.78,"Pedro";0.93,"Emilly"},2,TRUE)</f>
        <v>Emilly</v>
      </c>
      <c r="H448">
        <v>1</v>
      </c>
      <c r="I448">
        <v>1130</v>
      </c>
      <c r="J448">
        <v>0.4</v>
      </c>
      <c r="K448">
        <f>PRODUCT(TabelaVendas1__2[[#This Row],[Valor_UnitarioXQtd]],TabelaVendas1__2[[#This Row],[Percentual_Lucro]])</f>
        <v>452</v>
      </c>
      <c r="L448">
        <v>1130</v>
      </c>
      <c r="M448">
        <f>PRODUCT(TabelaVendas1__2[[#This Row],[Quantidade]],TabelaVendas1__2[[#This Row],[Valor_Unitario]])</f>
        <v>1130</v>
      </c>
      <c r="N448">
        <f>SUM(TabelaVendas1__2[[#This Row],[Valor_UnitarioXQtd]],TabelaVendas1__2[[#This Row],[Valor_Lucro]])</f>
        <v>1582</v>
      </c>
      <c r="O448" s="2" t="s">
        <v>122</v>
      </c>
    </row>
    <row r="449" spans="1:15">
      <c r="A449" t="s">
        <v>158</v>
      </c>
      <c r="B449" t="s">
        <v>22</v>
      </c>
      <c r="C449" t="s">
        <v>23</v>
      </c>
      <c r="D449" t="s">
        <v>18</v>
      </c>
      <c r="E449" s="1">
        <v>45499</v>
      </c>
      <c r="F449" t="s">
        <v>19</v>
      </c>
      <c r="G449" t="str">
        <f ca="1">VLOOKUP(RAND(),{0,"Lucas";0.39,"Roberto";0.63,"Carla";0.78,"Pedro";0.93,"Emilly"},2,TRUE)</f>
        <v>Carla</v>
      </c>
      <c r="H449">
        <v>1</v>
      </c>
      <c r="I449">
        <v>1410</v>
      </c>
      <c r="J449">
        <v>0.4</v>
      </c>
      <c r="K449">
        <f>PRODUCT(TabelaVendas1__2[[#This Row],[Valor_UnitarioXQtd]],TabelaVendas1__2[[#This Row],[Percentual_Lucro]])</f>
        <v>564</v>
      </c>
      <c r="L449">
        <v>1410</v>
      </c>
      <c r="M449">
        <f>PRODUCT(TabelaVendas1__2[[#This Row],[Quantidade]],TabelaVendas1__2[[#This Row],[Valor_Unitario]])</f>
        <v>1410</v>
      </c>
      <c r="N449">
        <f>SUM(TabelaVendas1__2[[#This Row],[Valor_UnitarioXQtd]],TabelaVendas1__2[[#This Row],[Valor_Lucro]])</f>
        <v>1974</v>
      </c>
      <c r="O449" s="2" t="s">
        <v>20</v>
      </c>
    </row>
    <row r="450" spans="1:15">
      <c r="A450" t="s">
        <v>264</v>
      </c>
      <c r="B450" t="s">
        <v>22</v>
      </c>
      <c r="C450" t="s">
        <v>23</v>
      </c>
      <c r="D450" t="s">
        <v>29</v>
      </c>
      <c r="E450" s="1">
        <v>45499</v>
      </c>
      <c r="F450" t="s">
        <v>19</v>
      </c>
      <c r="G450" t="str">
        <f ca="1">VLOOKUP(RAND(),{0,"Lucas";0.39,"Roberto";0.63,"Carla";0.78,"Pedro";0.93,"Emilly"},2,TRUE)</f>
        <v>Roberto</v>
      </c>
      <c r="H450">
        <v>1</v>
      </c>
      <c r="I450">
        <v>1250</v>
      </c>
      <c r="J450">
        <v>0.4</v>
      </c>
      <c r="K450">
        <f>PRODUCT(TabelaVendas1__2[[#This Row],[Valor_UnitarioXQtd]],TabelaVendas1__2[[#This Row],[Percentual_Lucro]])</f>
        <v>500</v>
      </c>
      <c r="L450">
        <v>1250</v>
      </c>
      <c r="M450">
        <f>PRODUCT(TabelaVendas1__2[[#This Row],[Quantidade]],TabelaVendas1__2[[#This Row],[Valor_Unitario]])</f>
        <v>1250</v>
      </c>
      <c r="N450">
        <f>SUM(TabelaVendas1__2[[#This Row],[Valor_UnitarioXQtd]],TabelaVendas1__2[[#This Row],[Valor_Lucro]])</f>
        <v>1750</v>
      </c>
      <c r="O450" s="2" t="s">
        <v>31</v>
      </c>
    </row>
    <row r="451" spans="1:15">
      <c r="A451" t="s">
        <v>93</v>
      </c>
      <c r="B451" t="s">
        <v>22</v>
      </c>
      <c r="C451" t="s">
        <v>23</v>
      </c>
      <c r="D451" t="s">
        <v>34</v>
      </c>
      <c r="E451" s="1">
        <v>45499</v>
      </c>
      <c r="F451" t="s">
        <v>27</v>
      </c>
      <c r="G451" t="str">
        <f ca="1">VLOOKUP(RAND(),{0,"Lucas";0.39,"Roberto";0.63,"Carla";0.78,"Pedro";0.93,"Emilly"},2,TRUE)</f>
        <v>Lucas</v>
      </c>
      <c r="H451">
        <v>1</v>
      </c>
      <c r="I451">
        <v>2550</v>
      </c>
      <c r="J451">
        <v>0.4</v>
      </c>
      <c r="K451">
        <f>PRODUCT(TabelaVendas1__2[[#This Row],[Valor_UnitarioXQtd]],TabelaVendas1__2[[#This Row],[Percentual_Lucro]])</f>
        <v>1020</v>
      </c>
      <c r="L451">
        <v>2550</v>
      </c>
      <c r="M451">
        <f>PRODUCT(TabelaVendas1__2[[#This Row],[Quantidade]],TabelaVendas1__2[[#This Row],[Valor_Unitario]])</f>
        <v>2550</v>
      </c>
      <c r="N451">
        <f>SUM(TabelaVendas1__2[[#This Row],[Valor_UnitarioXQtd]],TabelaVendas1__2[[#This Row],[Valor_Lucro]])</f>
        <v>3570</v>
      </c>
      <c r="O451" s="2" t="s">
        <v>35</v>
      </c>
    </row>
    <row r="452" spans="1:15">
      <c r="A452" t="s">
        <v>265</v>
      </c>
      <c r="B452" t="s">
        <v>22</v>
      </c>
      <c r="C452" t="s">
        <v>33</v>
      </c>
      <c r="D452" t="s">
        <v>34</v>
      </c>
      <c r="E452" s="1">
        <v>45499</v>
      </c>
      <c r="F452" t="s">
        <v>19</v>
      </c>
      <c r="G452" t="str">
        <f ca="1">VLOOKUP(RAND(),{0,"Lucas";0.39,"Roberto";0.63,"Carla";0.78,"Pedro";0.93,"Emilly"},2,TRUE)</f>
        <v>Emilly</v>
      </c>
      <c r="H452">
        <v>1</v>
      </c>
      <c r="I452">
        <v>4300</v>
      </c>
      <c r="J452">
        <v>0.4</v>
      </c>
      <c r="K452">
        <f>PRODUCT(TabelaVendas1__2[[#This Row],[Valor_UnitarioXQtd]],TabelaVendas1__2[[#This Row],[Percentual_Lucro]])</f>
        <v>1720</v>
      </c>
      <c r="L452">
        <v>4300</v>
      </c>
      <c r="M452">
        <f>PRODUCT(TabelaVendas1__2[[#This Row],[Quantidade]],TabelaVendas1__2[[#This Row],[Valor_Unitario]])</f>
        <v>4300</v>
      </c>
      <c r="N452">
        <f>SUM(TabelaVendas1__2[[#This Row],[Valor_UnitarioXQtd]],TabelaVendas1__2[[#This Row],[Valor_Lucro]])</f>
        <v>6020</v>
      </c>
      <c r="O452" s="2" t="s">
        <v>35</v>
      </c>
    </row>
    <row r="453" spans="1:15">
      <c r="A453" t="s">
        <v>266</v>
      </c>
      <c r="B453" t="s">
        <v>22</v>
      </c>
      <c r="C453" t="s">
        <v>33</v>
      </c>
      <c r="D453" t="s">
        <v>34</v>
      </c>
      <c r="E453" s="1">
        <v>45499</v>
      </c>
      <c r="F453" t="s">
        <v>30</v>
      </c>
      <c r="G453" t="str">
        <f ca="1">VLOOKUP(RAND(),{0,"Lucas";0.39,"Roberto";0.63,"Carla";0.78,"Pedro";0.93,"Emilly"},2,TRUE)</f>
        <v>Roberto</v>
      </c>
      <c r="H453">
        <v>1</v>
      </c>
      <c r="I453">
        <v>6300</v>
      </c>
      <c r="J453">
        <v>0.4</v>
      </c>
      <c r="K453">
        <f>PRODUCT(TabelaVendas1__2[[#This Row],[Valor_UnitarioXQtd]],TabelaVendas1__2[[#This Row],[Percentual_Lucro]])</f>
        <v>2520</v>
      </c>
      <c r="L453">
        <v>6300</v>
      </c>
      <c r="M453">
        <f>PRODUCT(TabelaVendas1__2[[#This Row],[Quantidade]],TabelaVendas1__2[[#This Row],[Valor_Unitario]])</f>
        <v>6300</v>
      </c>
      <c r="N453">
        <f>SUM(TabelaVendas1__2[[#This Row],[Valor_UnitarioXQtd]],TabelaVendas1__2[[#This Row],[Valor_Lucro]])</f>
        <v>8820</v>
      </c>
      <c r="O453" s="2" t="s">
        <v>35</v>
      </c>
    </row>
    <row r="454" spans="1:15">
      <c r="A454" t="s">
        <v>267</v>
      </c>
      <c r="B454" t="s">
        <v>22</v>
      </c>
      <c r="C454" t="s">
        <v>23</v>
      </c>
      <c r="D454" t="s">
        <v>42</v>
      </c>
      <c r="E454" s="1">
        <v>45532</v>
      </c>
      <c r="F454" t="s">
        <v>30</v>
      </c>
      <c r="G454" t="str">
        <f ca="1">VLOOKUP(RAND(),{0,"Lucas";0.39,"Roberto";0.63,"Carla";0.78,"Pedro";0.93,"Emilly"},2,TRUE)</f>
        <v>Lucas</v>
      </c>
      <c r="H454">
        <v>1</v>
      </c>
      <c r="I454">
        <v>1150</v>
      </c>
      <c r="J454">
        <v>0.4</v>
      </c>
      <c r="K454">
        <f>PRODUCT(TabelaVendas1__2[[#This Row],[Valor_UnitarioXQtd]],TabelaVendas1__2[[#This Row],[Percentual_Lucro]])</f>
        <v>460</v>
      </c>
      <c r="L454">
        <v>1150</v>
      </c>
      <c r="M454">
        <f>PRODUCT(TabelaVendas1__2[[#This Row],[Quantidade]],TabelaVendas1__2[[#This Row],[Valor_Unitario]])</f>
        <v>1150</v>
      </c>
      <c r="N454">
        <f>SUM(TabelaVendas1__2[[#This Row],[Valor_UnitarioXQtd]],TabelaVendas1__2[[#This Row],[Valor_Lucro]])</f>
        <v>1610</v>
      </c>
      <c r="O454" s="2" t="s">
        <v>43</v>
      </c>
    </row>
    <row r="455" spans="1:15">
      <c r="A455" t="s">
        <v>64</v>
      </c>
      <c r="B455" t="s">
        <v>22</v>
      </c>
      <c r="C455" t="s">
        <v>23</v>
      </c>
      <c r="D455" t="s">
        <v>18</v>
      </c>
      <c r="E455" s="1">
        <v>45532</v>
      </c>
      <c r="F455" t="s">
        <v>27</v>
      </c>
      <c r="G455" t="str">
        <f ca="1">VLOOKUP(RAND(),{0,"Lucas";0.39,"Roberto";0.63,"Carla";0.78,"Pedro";0.93,"Emilly"},2,TRUE)</f>
        <v>Lucas</v>
      </c>
      <c r="H455">
        <v>1</v>
      </c>
      <c r="I455">
        <v>6500</v>
      </c>
      <c r="J455">
        <v>0.4</v>
      </c>
      <c r="K455">
        <f>PRODUCT(TabelaVendas1__2[[#This Row],[Valor_UnitarioXQtd]],TabelaVendas1__2[[#This Row],[Percentual_Lucro]])</f>
        <v>2600</v>
      </c>
      <c r="L455">
        <v>6500</v>
      </c>
      <c r="M455">
        <f>PRODUCT(TabelaVendas1__2[[#This Row],[Quantidade]],TabelaVendas1__2[[#This Row],[Valor_Unitario]])</f>
        <v>6500</v>
      </c>
      <c r="N455">
        <f>SUM(TabelaVendas1__2[[#This Row],[Valor_UnitarioXQtd]],TabelaVendas1__2[[#This Row],[Valor_Lucro]])</f>
        <v>9100</v>
      </c>
      <c r="O455" s="2" t="s">
        <v>20</v>
      </c>
    </row>
    <row r="456" spans="1:15">
      <c r="A456" t="s">
        <v>268</v>
      </c>
      <c r="B456" t="s">
        <v>22</v>
      </c>
      <c r="C456" t="s">
        <v>23</v>
      </c>
      <c r="D456" t="s">
        <v>146</v>
      </c>
      <c r="E456" s="1">
        <v>45532</v>
      </c>
      <c r="F456" t="s">
        <v>30</v>
      </c>
      <c r="G456" t="str">
        <f ca="1">VLOOKUP(RAND(),{0,"Lucas";0.39,"Roberto";0.63,"Carla";0.78,"Pedro";0.93,"Emilly"},2,TRUE)</f>
        <v>Pedro</v>
      </c>
      <c r="H456">
        <v>1</v>
      </c>
      <c r="I456">
        <v>7600</v>
      </c>
      <c r="J456">
        <v>0.4</v>
      </c>
      <c r="K456">
        <f>PRODUCT(TabelaVendas1__2[[#This Row],[Valor_UnitarioXQtd]],TabelaVendas1__2[[#This Row],[Percentual_Lucro]])</f>
        <v>3040</v>
      </c>
      <c r="L456">
        <v>7600</v>
      </c>
      <c r="M456">
        <f>PRODUCT(TabelaVendas1__2[[#This Row],[Quantidade]],TabelaVendas1__2[[#This Row],[Valor_Unitario]])</f>
        <v>7600</v>
      </c>
      <c r="N456">
        <f>SUM(TabelaVendas1__2[[#This Row],[Valor_UnitarioXQtd]],TabelaVendas1__2[[#This Row],[Valor_Lucro]])</f>
        <v>10640</v>
      </c>
      <c r="O456" s="2" t="s">
        <v>147</v>
      </c>
    </row>
    <row r="457" spans="1:15">
      <c r="A457" t="s">
        <v>256</v>
      </c>
      <c r="B457" t="s">
        <v>22</v>
      </c>
      <c r="C457" t="s">
        <v>33</v>
      </c>
      <c r="D457" t="s">
        <v>34</v>
      </c>
      <c r="E457" s="1">
        <v>45532</v>
      </c>
      <c r="F457" t="s">
        <v>30</v>
      </c>
      <c r="G457" t="str">
        <f ca="1">VLOOKUP(RAND(),{0,"Lucas";0.39,"Roberto";0.63,"Carla";0.78,"Pedro";0.93,"Emilly"},2,TRUE)</f>
        <v>Lucas</v>
      </c>
      <c r="H457">
        <v>1</v>
      </c>
      <c r="I457">
        <v>5000</v>
      </c>
      <c r="J457">
        <v>0.4</v>
      </c>
      <c r="K457">
        <f>PRODUCT(TabelaVendas1__2[[#This Row],[Valor_UnitarioXQtd]],TabelaVendas1__2[[#This Row],[Percentual_Lucro]])</f>
        <v>2000</v>
      </c>
      <c r="L457">
        <v>5000</v>
      </c>
      <c r="M457">
        <f>PRODUCT(TabelaVendas1__2[[#This Row],[Quantidade]],TabelaVendas1__2[[#This Row],[Valor_Unitario]])</f>
        <v>5000</v>
      </c>
      <c r="N457">
        <f>SUM(TabelaVendas1__2[[#This Row],[Valor_UnitarioXQtd]],TabelaVendas1__2[[#This Row],[Valor_Lucro]])</f>
        <v>7000</v>
      </c>
      <c r="O457" s="2" t="s">
        <v>35</v>
      </c>
    </row>
    <row r="458" spans="1:15">
      <c r="A458" t="s">
        <v>226</v>
      </c>
      <c r="B458" t="s">
        <v>16</v>
      </c>
      <c r="C458" t="s">
        <v>17</v>
      </c>
      <c r="D458" t="s">
        <v>24</v>
      </c>
      <c r="E458" s="1">
        <v>45561</v>
      </c>
      <c r="F458" t="s">
        <v>30</v>
      </c>
      <c r="G458" t="str">
        <f ca="1">VLOOKUP(RAND(),{0,"Lucas";0.39,"Roberto";0.63,"Carla";0.78,"Pedro";0.93,"Emilly"},2,TRUE)</f>
        <v>Emilly</v>
      </c>
      <c r="H458">
        <v>1</v>
      </c>
      <c r="I458">
        <v>10500</v>
      </c>
      <c r="J458">
        <v>0.4</v>
      </c>
      <c r="K458">
        <f>PRODUCT(TabelaVendas1__2[[#This Row],[Valor_UnitarioXQtd]],TabelaVendas1__2[[#This Row],[Percentual_Lucro]])</f>
        <v>4200</v>
      </c>
      <c r="L458">
        <v>10500</v>
      </c>
      <c r="M458">
        <f>PRODUCT(TabelaVendas1__2[[#This Row],[Quantidade]],TabelaVendas1__2[[#This Row],[Valor_Unitario]])</f>
        <v>10500</v>
      </c>
      <c r="N458">
        <f>SUM(TabelaVendas1__2[[#This Row],[Valor_UnitarioXQtd]],TabelaVendas1__2[[#This Row],[Valor_Lucro]])</f>
        <v>14700</v>
      </c>
      <c r="O458" s="2" t="s">
        <v>25</v>
      </c>
    </row>
    <row r="459" spans="1:15">
      <c r="A459" t="s">
        <v>269</v>
      </c>
      <c r="B459" t="s">
        <v>51</v>
      </c>
      <c r="C459" t="s">
        <v>17</v>
      </c>
      <c r="D459" t="s">
        <v>146</v>
      </c>
      <c r="E459" s="1">
        <v>45561</v>
      </c>
      <c r="F459" t="s">
        <v>27</v>
      </c>
      <c r="G459" t="str">
        <f ca="1">VLOOKUP(RAND(),{0,"Lucas";0.39,"Roberto";0.63,"Carla";0.78,"Pedro";0.93,"Emilly"},2,TRUE)</f>
        <v>Lucas</v>
      </c>
      <c r="H459">
        <v>1</v>
      </c>
      <c r="I459">
        <v>11150</v>
      </c>
      <c r="J459">
        <v>0.4</v>
      </c>
      <c r="K459">
        <f>PRODUCT(TabelaVendas1__2[[#This Row],[Valor_UnitarioXQtd]],TabelaVendas1__2[[#This Row],[Percentual_Lucro]])</f>
        <v>4460</v>
      </c>
      <c r="L459">
        <v>11150</v>
      </c>
      <c r="M459">
        <f>PRODUCT(TabelaVendas1__2[[#This Row],[Quantidade]],TabelaVendas1__2[[#This Row],[Valor_Unitario]])</f>
        <v>11150</v>
      </c>
      <c r="N459">
        <f>SUM(TabelaVendas1__2[[#This Row],[Valor_UnitarioXQtd]],TabelaVendas1__2[[#This Row],[Valor_Lucro]])</f>
        <v>15610</v>
      </c>
      <c r="O459" s="2" t="s">
        <v>147</v>
      </c>
    </row>
    <row r="460" spans="1:15">
      <c r="A460" t="s">
        <v>270</v>
      </c>
      <c r="B460" t="s">
        <v>22</v>
      </c>
      <c r="C460" t="s">
        <v>23</v>
      </c>
      <c r="D460" t="s">
        <v>42</v>
      </c>
      <c r="E460" s="1">
        <v>45595</v>
      </c>
      <c r="F460" t="s">
        <v>27</v>
      </c>
      <c r="G460" t="str">
        <f ca="1">VLOOKUP(RAND(),{0,"Lucas";0.39,"Roberto";0.63,"Carla";0.78,"Pedro";0.93,"Emilly"},2,TRUE)</f>
        <v>Carla</v>
      </c>
      <c r="H460">
        <v>1</v>
      </c>
      <c r="I460">
        <v>5500</v>
      </c>
      <c r="J460">
        <v>0.4</v>
      </c>
      <c r="K460">
        <f>PRODUCT(TabelaVendas1__2[[#This Row],[Valor_UnitarioXQtd]],TabelaVendas1__2[[#This Row],[Percentual_Lucro]])</f>
        <v>2200</v>
      </c>
      <c r="L460">
        <v>5500</v>
      </c>
      <c r="M460">
        <f>PRODUCT(TabelaVendas1__2[[#This Row],[Quantidade]],TabelaVendas1__2[[#This Row],[Valor_Unitario]])</f>
        <v>5500</v>
      </c>
      <c r="N460">
        <f>SUM(TabelaVendas1__2[[#This Row],[Valor_UnitarioXQtd]],TabelaVendas1__2[[#This Row],[Valor_Lucro]])</f>
        <v>7700</v>
      </c>
      <c r="O460" s="2" t="s">
        <v>43</v>
      </c>
    </row>
    <row r="461" spans="1:15">
      <c r="A461" t="s">
        <v>271</v>
      </c>
      <c r="B461" t="s">
        <v>22</v>
      </c>
      <c r="C461" t="s">
        <v>23</v>
      </c>
      <c r="D461" t="s">
        <v>24</v>
      </c>
      <c r="E461" s="1">
        <v>45595</v>
      </c>
      <c r="F461" t="s">
        <v>30</v>
      </c>
      <c r="G461" t="str">
        <f ca="1">VLOOKUP(RAND(),{0,"Lucas";0.39,"Roberto";0.63,"Carla";0.78,"Pedro";0.93,"Emilly"},2,TRUE)</f>
        <v>Lucas</v>
      </c>
      <c r="H461">
        <v>1</v>
      </c>
      <c r="I461">
        <v>12500</v>
      </c>
      <c r="J461">
        <v>0.4</v>
      </c>
      <c r="K461">
        <f>PRODUCT(TabelaVendas1__2[[#This Row],[Valor_UnitarioXQtd]],TabelaVendas1__2[[#This Row],[Percentual_Lucro]])</f>
        <v>5000</v>
      </c>
      <c r="L461">
        <v>12500</v>
      </c>
      <c r="M461">
        <f>PRODUCT(TabelaVendas1__2[[#This Row],[Quantidade]],TabelaVendas1__2[[#This Row],[Valor_Unitario]])</f>
        <v>12500</v>
      </c>
      <c r="N461">
        <f>SUM(TabelaVendas1__2[[#This Row],[Valor_UnitarioXQtd]],TabelaVendas1__2[[#This Row],[Valor_Lucro]])</f>
        <v>17500</v>
      </c>
      <c r="O461" s="2" t="s">
        <v>25</v>
      </c>
    </row>
    <row r="462" spans="1:15">
      <c r="A462" t="s">
        <v>272</v>
      </c>
      <c r="B462" t="s">
        <v>22</v>
      </c>
      <c r="C462" t="s">
        <v>23</v>
      </c>
      <c r="D462" t="s">
        <v>24</v>
      </c>
      <c r="E462" s="1">
        <v>45595</v>
      </c>
      <c r="F462" t="s">
        <v>19</v>
      </c>
      <c r="G462" t="str">
        <f ca="1">VLOOKUP(RAND(),{0,"Lucas";0.39,"Roberto";0.63,"Carla";0.78,"Pedro";0.93,"Emilly"},2,TRUE)</f>
        <v>Emilly</v>
      </c>
      <c r="H462">
        <v>1</v>
      </c>
      <c r="I462">
        <v>6400</v>
      </c>
      <c r="J462">
        <v>0.4</v>
      </c>
      <c r="K462">
        <f>PRODUCT(TabelaVendas1__2[[#This Row],[Valor_UnitarioXQtd]],TabelaVendas1__2[[#This Row],[Percentual_Lucro]])</f>
        <v>2560</v>
      </c>
      <c r="L462">
        <v>6400</v>
      </c>
      <c r="M462">
        <f>PRODUCT(TabelaVendas1__2[[#This Row],[Quantidade]],TabelaVendas1__2[[#This Row],[Valor_Unitario]])</f>
        <v>6400</v>
      </c>
      <c r="N462">
        <f>SUM(TabelaVendas1__2[[#This Row],[Valor_UnitarioXQtd]],TabelaVendas1__2[[#This Row],[Valor_Lucro]])</f>
        <v>8960</v>
      </c>
      <c r="O462" s="2" t="s">
        <v>25</v>
      </c>
    </row>
    <row r="463" spans="1:15">
      <c r="A463" t="s">
        <v>260</v>
      </c>
      <c r="B463" t="s">
        <v>16</v>
      </c>
      <c r="C463" t="s">
        <v>17</v>
      </c>
      <c r="D463" t="s">
        <v>24</v>
      </c>
      <c r="E463" s="1">
        <v>45625</v>
      </c>
      <c r="F463" t="s">
        <v>27</v>
      </c>
      <c r="G463" t="str">
        <f ca="1">VLOOKUP(RAND(),{0,"Lucas";0.39,"Roberto";0.63,"Carla";0.78,"Pedro";0.93,"Emilly"},2,TRUE)</f>
        <v>Lucas</v>
      </c>
      <c r="H463">
        <v>1</v>
      </c>
      <c r="I463">
        <v>8800</v>
      </c>
      <c r="J463">
        <v>0.4</v>
      </c>
      <c r="K463">
        <f>PRODUCT(TabelaVendas1__2[[#This Row],[Valor_UnitarioXQtd]],TabelaVendas1__2[[#This Row],[Percentual_Lucro]])</f>
        <v>3520</v>
      </c>
      <c r="L463">
        <v>8800</v>
      </c>
      <c r="M463">
        <f>PRODUCT(TabelaVendas1__2[[#This Row],[Quantidade]],TabelaVendas1__2[[#This Row],[Valor_Unitario]])</f>
        <v>8800</v>
      </c>
      <c r="N463">
        <f>SUM(TabelaVendas1__2[[#This Row],[Valor_UnitarioXQtd]],TabelaVendas1__2[[#This Row],[Valor_Lucro]])</f>
        <v>12320</v>
      </c>
      <c r="O463" s="2" t="s">
        <v>25</v>
      </c>
    </row>
    <row r="464" spans="1:15">
      <c r="A464" t="s">
        <v>226</v>
      </c>
      <c r="B464" t="s">
        <v>16</v>
      </c>
      <c r="C464" t="s">
        <v>17</v>
      </c>
      <c r="D464" t="s">
        <v>24</v>
      </c>
      <c r="E464" s="1">
        <v>45625</v>
      </c>
      <c r="F464" t="s">
        <v>27</v>
      </c>
      <c r="G464" t="str">
        <f ca="1">VLOOKUP(RAND(),{0,"Lucas";0.39,"Roberto";0.63,"Carla";0.78,"Pedro";0.93,"Emilly"},2,TRUE)</f>
        <v>Lucas</v>
      </c>
      <c r="H464">
        <v>1</v>
      </c>
      <c r="I464">
        <v>9600</v>
      </c>
      <c r="J464">
        <v>0.4</v>
      </c>
      <c r="K464">
        <f>PRODUCT(TabelaVendas1__2[[#This Row],[Valor_UnitarioXQtd]],TabelaVendas1__2[[#This Row],[Percentual_Lucro]])</f>
        <v>3840</v>
      </c>
      <c r="L464">
        <v>9600</v>
      </c>
      <c r="M464">
        <f>PRODUCT(TabelaVendas1__2[[#This Row],[Quantidade]],TabelaVendas1__2[[#This Row],[Valor_Unitario]])</f>
        <v>9600</v>
      </c>
      <c r="N464">
        <f>SUM(TabelaVendas1__2[[#This Row],[Valor_UnitarioXQtd]],TabelaVendas1__2[[#This Row],[Valor_Lucro]])</f>
        <v>13440</v>
      </c>
      <c r="O464" s="2" t="s">
        <v>25</v>
      </c>
    </row>
    <row r="465" spans="1:15">
      <c r="A465" t="s">
        <v>240</v>
      </c>
      <c r="B465" t="s">
        <v>22</v>
      </c>
      <c r="C465" t="s">
        <v>23</v>
      </c>
      <c r="D465" t="s">
        <v>75</v>
      </c>
      <c r="E465" s="1">
        <v>45625</v>
      </c>
      <c r="F465" t="s">
        <v>19</v>
      </c>
      <c r="G465" t="str">
        <f ca="1">VLOOKUP(RAND(),{0,"Lucas";0.39,"Roberto";0.63,"Carla";0.78,"Pedro";0.93,"Emilly"},2,TRUE)</f>
        <v>Pedro</v>
      </c>
      <c r="H465">
        <v>1</v>
      </c>
      <c r="I465">
        <v>7300</v>
      </c>
      <c r="J465">
        <v>0.4</v>
      </c>
      <c r="K465">
        <f>PRODUCT(TabelaVendas1__2[[#This Row],[Valor_UnitarioXQtd]],TabelaVendas1__2[[#This Row],[Percentual_Lucro]])</f>
        <v>2920</v>
      </c>
      <c r="L465">
        <v>7300</v>
      </c>
      <c r="M465">
        <f>PRODUCT(TabelaVendas1__2[[#This Row],[Quantidade]],TabelaVendas1__2[[#This Row],[Valor_Unitario]])</f>
        <v>7300</v>
      </c>
      <c r="N465">
        <f>SUM(TabelaVendas1__2[[#This Row],[Valor_UnitarioXQtd]],TabelaVendas1__2[[#This Row],[Valor_Lucro]])</f>
        <v>10220</v>
      </c>
      <c r="O465" s="2" t="s">
        <v>76</v>
      </c>
    </row>
    <row r="466" spans="1:15">
      <c r="A466" t="s">
        <v>273</v>
      </c>
      <c r="B466" t="s">
        <v>22</v>
      </c>
      <c r="C466" t="s">
        <v>23</v>
      </c>
      <c r="D466" t="s">
        <v>42</v>
      </c>
      <c r="E466" s="1">
        <v>45649</v>
      </c>
      <c r="F466" t="s">
        <v>30</v>
      </c>
      <c r="G466" t="str">
        <f ca="1">VLOOKUP(RAND(),{0,"Lucas";0.39,"Roberto";0.63,"Carla";0.78,"Pedro";0.93,"Emilly"},2,TRUE)</f>
        <v>Pedro</v>
      </c>
      <c r="H466">
        <v>1</v>
      </c>
      <c r="I466">
        <v>2050</v>
      </c>
      <c r="J466">
        <v>0.4</v>
      </c>
      <c r="K466">
        <f>PRODUCT(TabelaVendas1__2[[#This Row],[Valor_UnitarioXQtd]],TabelaVendas1__2[[#This Row],[Percentual_Lucro]])</f>
        <v>820</v>
      </c>
      <c r="L466">
        <v>2050</v>
      </c>
      <c r="M466">
        <f>PRODUCT(TabelaVendas1__2[[#This Row],[Quantidade]],TabelaVendas1__2[[#This Row],[Valor_Unitario]])</f>
        <v>2050</v>
      </c>
      <c r="N466">
        <f>SUM(TabelaVendas1__2[[#This Row],[Valor_UnitarioXQtd]],TabelaVendas1__2[[#This Row],[Valor_Lucro]])</f>
        <v>2870</v>
      </c>
      <c r="O466" s="2" t="s">
        <v>43</v>
      </c>
    </row>
    <row r="467" spans="1:15">
      <c r="A467" t="s">
        <v>263</v>
      </c>
      <c r="B467" t="s">
        <v>22</v>
      </c>
      <c r="C467" t="s">
        <v>23</v>
      </c>
      <c r="D467" t="s">
        <v>42</v>
      </c>
      <c r="E467" s="1">
        <v>45649</v>
      </c>
      <c r="F467" t="s">
        <v>30</v>
      </c>
      <c r="G467" t="str">
        <f ca="1">VLOOKUP(RAND(),{0,"Lucas";0.39,"Roberto";0.63,"Carla";0.78,"Pedro";0.93,"Emilly"},2,TRUE)</f>
        <v>Lucas</v>
      </c>
      <c r="H467">
        <v>1</v>
      </c>
      <c r="I467">
        <v>1015</v>
      </c>
      <c r="J467">
        <v>0.4</v>
      </c>
      <c r="K467">
        <f>PRODUCT(TabelaVendas1__2[[#This Row],[Valor_UnitarioXQtd]],TabelaVendas1__2[[#This Row],[Percentual_Lucro]])</f>
        <v>406</v>
      </c>
      <c r="L467">
        <v>1015</v>
      </c>
      <c r="M467">
        <f>PRODUCT(TabelaVendas1__2[[#This Row],[Quantidade]],TabelaVendas1__2[[#This Row],[Valor_Unitario]])</f>
        <v>1015</v>
      </c>
      <c r="N467">
        <f>SUM(TabelaVendas1__2[[#This Row],[Valor_UnitarioXQtd]],TabelaVendas1__2[[#This Row],[Valor_Lucro]])</f>
        <v>1421</v>
      </c>
      <c r="O467" s="2" t="s">
        <v>43</v>
      </c>
    </row>
    <row r="468" spans="1:15">
      <c r="A468" t="s">
        <v>120</v>
      </c>
      <c r="B468" t="s">
        <v>22</v>
      </c>
      <c r="C468" t="s">
        <v>23</v>
      </c>
      <c r="D468" t="s">
        <v>121</v>
      </c>
      <c r="E468" s="1">
        <v>45649</v>
      </c>
      <c r="F468" t="s">
        <v>30</v>
      </c>
      <c r="G468" t="str">
        <f ca="1">VLOOKUP(RAND(),{0,"Lucas";0.39,"Roberto";0.63,"Carla";0.78,"Pedro";0.93,"Emilly"},2,TRUE)</f>
        <v>Lucas</v>
      </c>
      <c r="H468">
        <v>1</v>
      </c>
      <c r="I468">
        <v>130</v>
      </c>
      <c r="J468">
        <v>0.4</v>
      </c>
      <c r="K468">
        <f>PRODUCT(TabelaVendas1__2[[#This Row],[Valor_UnitarioXQtd]],TabelaVendas1__2[[#This Row],[Percentual_Lucro]])</f>
        <v>52</v>
      </c>
      <c r="L468">
        <v>130</v>
      </c>
      <c r="M468">
        <f>PRODUCT(TabelaVendas1__2[[#This Row],[Quantidade]],TabelaVendas1__2[[#This Row],[Valor_Unitario]])</f>
        <v>130</v>
      </c>
      <c r="N468">
        <f>SUM(TabelaVendas1__2[[#This Row],[Valor_UnitarioXQtd]],TabelaVendas1__2[[#This Row],[Valor_Lucro]])</f>
        <v>182</v>
      </c>
      <c r="O468" s="2" t="s">
        <v>122</v>
      </c>
    </row>
    <row r="469" spans="1:15">
      <c r="A469" t="s">
        <v>96</v>
      </c>
      <c r="B469" t="s">
        <v>22</v>
      </c>
      <c r="C469" t="s">
        <v>23</v>
      </c>
      <c r="D469" t="s">
        <v>97</v>
      </c>
      <c r="E469" s="1">
        <v>45649</v>
      </c>
      <c r="F469" t="s">
        <v>19</v>
      </c>
      <c r="G469" t="str">
        <f ca="1">VLOOKUP(RAND(),{0,"Lucas";0.39,"Roberto";0.63,"Carla";0.78,"Pedro";0.93,"Emilly"},2,TRUE)</f>
        <v>Pedro</v>
      </c>
      <c r="H469">
        <v>1</v>
      </c>
      <c r="I469">
        <v>510</v>
      </c>
      <c r="J469">
        <v>0.4</v>
      </c>
      <c r="K469">
        <f>PRODUCT(TabelaVendas1__2[[#This Row],[Valor_UnitarioXQtd]],TabelaVendas1__2[[#This Row],[Percentual_Lucro]])</f>
        <v>204</v>
      </c>
      <c r="L469">
        <v>510</v>
      </c>
      <c r="M469">
        <f>PRODUCT(TabelaVendas1__2[[#This Row],[Quantidade]],TabelaVendas1__2[[#This Row],[Valor_Unitario]])</f>
        <v>510</v>
      </c>
      <c r="N469">
        <f>SUM(TabelaVendas1__2[[#This Row],[Valor_UnitarioXQtd]],TabelaVendas1__2[[#This Row],[Valor_Lucro]])</f>
        <v>714</v>
      </c>
      <c r="O469" s="2" t="s">
        <v>98</v>
      </c>
    </row>
    <row r="470" spans="1:15">
      <c r="A470" t="s">
        <v>274</v>
      </c>
      <c r="B470" t="s">
        <v>16</v>
      </c>
      <c r="C470" t="s">
        <v>17</v>
      </c>
      <c r="D470" t="s">
        <v>18</v>
      </c>
      <c r="E470" s="1">
        <v>45649</v>
      </c>
      <c r="F470" t="s">
        <v>19</v>
      </c>
      <c r="G470" t="str">
        <f ca="1">VLOOKUP(RAND(),{0,"Lucas";0.39,"Roberto";0.63,"Carla";0.78,"Pedro";0.93,"Emilly"},2,TRUE)</f>
        <v>Pedro</v>
      </c>
      <c r="H470">
        <v>1</v>
      </c>
      <c r="I470">
        <v>580</v>
      </c>
      <c r="J470">
        <v>0.4</v>
      </c>
      <c r="K470">
        <f>PRODUCT(TabelaVendas1__2[[#This Row],[Valor_UnitarioXQtd]],TabelaVendas1__2[[#This Row],[Percentual_Lucro]])</f>
        <v>232</v>
      </c>
      <c r="L470">
        <v>580</v>
      </c>
      <c r="M470">
        <f>PRODUCT(TabelaVendas1__2[[#This Row],[Quantidade]],TabelaVendas1__2[[#This Row],[Valor_Unitario]])</f>
        <v>580</v>
      </c>
      <c r="N470">
        <f>SUM(TabelaVendas1__2[[#This Row],[Valor_UnitarioXQtd]],TabelaVendas1__2[[#This Row],[Valor_Lucro]])</f>
        <v>812</v>
      </c>
      <c r="O470" s="2" t="s">
        <v>20</v>
      </c>
    </row>
    <row r="471" spans="1:15">
      <c r="A471" t="s">
        <v>275</v>
      </c>
      <c r="B471" t="s">
        <v>22</v>
      </c>
      <c r="C471" t="s">
        <v>23</v>
      </c>
      <c r="D471" t="s">
        <v>18</v>
      </c>
      <c r="E471" s="1">
        <v>45649</v>
      </c>
      <c r="F471" t="s">
        <v>19</v>
      </c>
      <c r="G471" t="str">
        <f ca="1">VLOOKUP(RAND(),{0,"Lucas";0.39,"Roberto";0.63,"Carla";0.78,"Pedro";0.93,"Emilly"},2,TRUE)</f>
        <v>Lucas</v>
      </c>
      <c r="H471">
        <v>1</v>
      </c>
      <c r="I471">
        <v>1280</v>
      </c>
      <c r="J471">
        <v>0.4</v>
      </c>
      <c r="K471">
        <f>PRODUCT(TabelaVendas1__2[[#This Row],[Valor_UnitarioXQtd]],TabelaVendas1__2[[#This Row],[Percentual_Lucro]])</f>
        <v>512</v>
      </c>
      <c r="L471">
        <v>1280</v>
      </c>
      <c r="M471">
        <f>PRODUCT(TabelaVendas1__2[[#This Row],[Quantidade]],TabelaVendas1__2[[#This Row],[Valor_Unitario]])</f>
        <v>1280</v>
      </c>
      <c r="N471">
        <f>SUM(TabelaVendas1__2[[#This Row],[Valor_UnitarioXQtd]],TabelaVendas1__2[[#This Row],[Valor_Lucro]])</f>
        <v>1792</v>
      </c>
      <c r="O471" s="2" t="s">
        <v>20</v>
      </c>
    </row>
    <row r="472" spans="1:15">
      <c r="A472" t="s">
        <v>276</v>
      </c>
      <c r="B472" t="s">
        <v>22</v>
      </c>
      <c r="C472" t="s">
        <v>33</v>
      </c>
      <c r="D472" t="s">
        <v>29</v>
      </c>
      <c r="E472" s="1">
        <v>45649</v>
      </c>
      <c r="F472" t="s">
        <v>19</v>
      </c>
      <c r="G472" t="str">
        <f ca="1">VLOOKUP(RAND(),{0,"Lucas";0.39,"Roberto";0.63,"Carla";0.78,"Pedro";0.93,"Emilly"},2,TRUE)</f>
        <v>Roberto</v>
      </c>
      <c r="H472">
        <v>1</v>
      </c>
      <c r="I472">
        <v>560</v>
      </c>
      <c r="J472">
        <v>0.4</v>
      </c>
      <c r="K472">
        <f>PRODUCT(TabelaVendas1__2[[#This Row],[Valor_UnitarioXQtd]],TabelaVendas1__2[[#This Row],[Percentual_Lucro]])</f>
        <v>224</v>
      </c>
      <c r="L472">
        <v>560</v>
      </c>
      <c r="M472">
        <f>PRODUCT(TabelaVendas1__2[[#This Row],[Quantidade]],TabelaVendas1__2[[#This Row],[Valor_Unitario]])</f>
        <v>560</v>
      </c>
      <c r="N472">
        <f>SUM(TabelaVendas1__2[[#This Row],[Valor_UnitarioXQtd]],TabelaVendas1__2[[#This Row],[Valor_Lucro]])</f>
        <v>784</v>
      </c>
      <c r="O472" s="2" t="s">
        <v>31</v>
      </c>
    </row>
    <row r="473" spans="1:15">
      <c r="A473" t="s">
        <v>277</v>
      </c>
      <c r="B473" t="s">
        <v>22</v>
      </c>
      <c r="C473" t="s">
        <v>23</v>
      </c>
      <c r="D473" t="s">
        <v>29</v>
      </c>
      <c r="E473" s="1">
        <v>45649</v>
      </c>
      <c r="F473" t="s">
        <v>27</v>
      </c>
      <c r="G473" t="str">
        <f ca="1">VLOOKUP(RAND(),{0,"Lucas";0.39,"Roberto";0.63,"Carla";0.78,"Pedro";0.93,"Emilly"},2,TRUE)</f>
        <v>Roberto</v>
      </c>
      <c r="H473">
        <v>1</v>
      </c>
      <c r="I473">
        <v>1020</v>
      </c>
      <c r="J473">
        <v>0.4</v>
      </c>
      <c r="K473">
        <f>PRODUCT(TabelaVendas1__2[[#This Row],[Valor_UnitarioXQtd]],TabelaVendas1__2[[#This Row],[Percentual_Lucro]])</f>
        <v>408</v>
      </c>
      <c r="L473">
        <v>1020</v>
      </c>
      <c r="M473">
        <f>PRODUCT(TabelaVendas1__2[[#This Row],[Quantidade]],TabelaVendas1__2[[#This Row],[Valor_Unitario]])</f>
        <v>1020</v>
      </c>
      <c r="N473">
        <f>SUM(TabelaVendas1__2[[#This Row],[Valor_UnitarioXQtd]],TabelaVendas1__2[[#This Row],[Valor_Lucro]])</f>
        <v>1428</v>
      </c>
      <c r="O473" s="2" t="s">
        <v>31</v>
      </c>
    </row>
    <row r="474" spans="1:15">
      <c r="A474" t="s">
        <v>278</v>
      </c>
      <c r="B474" t="s">
        <v>22</v>
      </c>
      <c r="C474" t="s">
        <v>23</v>
      </c>
      <c r="D474" t="s">
        <v>29</v>
      </c>
      <c r="E474" s="1">
        <v>45649</v>
      </c>
      <c r="F474" t="s">
        <v>19</v>
      </c>
      <c r="G474" t="str">
        <f ca="1">VLOOKUP(RAND(),{0,"Lucas";0.39,"Roberto";0.63,"Carla";0.78,"Pedro";0.93,"Emilly"},2,TRUE)</f>
        <v>Pedro</v>
      </c>
      <c r="H474">
        <v>1</v>
      </c>
      <c r="I474">
        <v>1900</v>
      </c>
      <c r="J474">
        <v>0.4</v>
      </c>
      <c r="K474">
        <f>PRODUCT(TabelaVendas1__2[[#This Row],[Valor_UnitarioXQtd]],TabelaVendas1__2[[#This Row],[Percentual_Lucro]])</f>
        <v>760</v>
      </c>
      <c r="L474">
        <v>1900</v>
      </c>
      <c r="M474">
        <f>PRODUCT(TabelaVendas1__2[[#This Row],[Quantidade]],TabelaVendas1__2[[#This Row],[Valor_Unitario]])</f>
        <v>1900</v>
      </c>
      <c r="N474">
        <f>SUM(TabelaVendas1__2[[#This Row],[Valor_UnitarioXQtd]],TabelaVendas1__2[[#This Row],[Valor_Lucro]])</f>
        <v>2660</v>
      </c>
      <c r="O474" s="2" t="s">
        <v>31</v>
      </c>
    </row>
    <row r="475" spans="1:15">
      <c r="A475" t="s">
        <v>279</v>
      </c>
      <c r="B475" t="s">
        <v>22</v>
      </c>
      <c r="C475" t="s">
        <v>23</v>
      </c>
      <c r="D475" t="s">
        <v>34</v>
      </c>
      <c r="E475" s="1">
        <v>45649</v>
      </c>
      <c r="F475" t="s">
        <v>27</v>
      </c>
      <c r="G475" t="str">
        <f ca="1">VLOOKUP(RAND(),{0,"Lucas";0.39,"Roberto";0.63,"Carla";0.78,"Pedro";0.93,"Emilly"},2,TRUE)</f>
        <v>Emilly</v>
      </c>
      <c r="H475">
        <v>1</v>
      </c>
      <c r="I475">
        <v>1130</v>
      </c>
      <c r="J475">
        <v>0.4</v>
      </c>
      <c r="K475">
        <f>PRODUCT(TabelaVendas1__2[[#This Row],[Valor_UnitarioXQtd]],TabelaVendas1__2[[#This Row],[Percentual_Lucro]])</f>
        <v>452</v>
      </c>
      <c r="L475">
        <v>1130</v>
      </c>
      <c r="M475">
        <f>PRODUCT(TabelaVendas1__2[[#This Row],[Quantidade]],TabelaVendas1__2[[#This Row],[Valor_Unitario]])</f>
        <v>1130</v>
      </c>
      <c r="N475">
        <f>SUM(TabelaVendas1__2[[#This Row],[Valor_UnitarioXQtd]],TabelaVendas1__2[[#This Row],[Valor_Lucro]])</f>
        <v>1582</v>
      </c>
      <c r="O475" s="2" t="s">
        <v>35</v>
      </c>
    </row>
    <row r="476" spans="1:15">
      <c r="A476" t="s">
        <v>142</v>
      </c>
      <c r="B476" t="s">
        <v>22</v>
      </c>
      <c r="C476" t="s">
        <v>23</v>
      </c>
      <c r="D476" t="s">
        <v>29</v>
      </c>
      <c r="E476" s="1">
        <v>45653</v>
      </c>
      <c r="F476" t="s">
        <v>27</v>
      </c>
      <c r="G476" t="str">
        <f ca="1">VLOOKUP(RAND(),{0,"Lucas";0.39,"Roberto";0.63,"Carla";0.78,"Pedro";0.93,"Emilly"},2,TRUE)</f>
        <v>Lucas</v>
      </c>
      <c r="H476">
        <v>1</v>
      </c>
      <c r="I476">
        <v>730</v>
      </c>
      <c r="J476">
        <v>0.4</v>
      </c>
      <c r="K476">
        <f>PRODUCT(TabelaVendas1__2[[#This Row],[Valor_UnitarioXQtd]],TabelaVendas1__2[[#This Row],[Percentual_Lucro]])</f>
        <v>292</v>
      </c>
      <c r="L476">
        <v>730</v>
      </c>
      <c r="M476">
        <f>PRODUCT(TabelaVendas1__2[[#This Row],[Quantidade]],TabelaVendas1__2[[#This Row],[Valor_Unitario]])</f>
        <v>730</v>
      </c>
      <c r="N476">
        <f>SUM(TabelaVendas1__2[[#This Row],[Valor_UnitarioXQtd]],TabelaVendas1__2[[#This Row],[Valor_Lucro]])</f>
        <v>1022</v>
      </c>
      <c r="O476" s="2" t="s">
        <v>31</v>
      </c>
    </row>
    <row r="477" spans="1:15">
      <c r="A477" t="s">
        <v>280</v>
      </c>
      <c r="B477" t="s">
        <v>22</v>
      </c>
      <c r="C477" t="s">
        <v>23</v>
      </c>
      <c r="D477" t="s">
        <v>29</v>
      </c>
      <c r="E477" s="1">
        <v>45653</v>
      </c>
      <c r="F477" t="s">
        <v>30</v>
      </c>
      <c r="G477" t="str">
        <f ca="1">VLOOKUP(RAND(),{0,"Lucas";0.39,"Roberto";0.63,"Carla";0.78,"Pedro";0.93,"Emilly"},2,TRUE)</f>
        <v>Pedro</v>
      </c>
      <c r="H477">
        <v>1</v>
      </c>
      <c r="I477">
        <v>8650</v>
      </c>
      <c r="J477">
        <v>0.4</v>
      </c>
      <c r="K477">
        <f>PRODUCT(TabelaVendas1__2[[#This Row],[Valor_UnitarioXQtd]],TabelaVendas1__2[[#This Row],[Percentual_Lucro]])</f>
        <v>3460</v>
      </c>
      <c r="L477">
        <v>8650</v>
      </c>
      <c r="M477">
        <f>PRODUCT(TabelaVendas1__2[[#This Row],[Quantidade]],TabelaVendas1__2[[#This Row],[Valor_Unitario]])</f>
        <v>8650</v>
      </c>
      <c r="N477">
        <f>SUM(TabelaVendas1__2[[#This Row],[Valor_UnitarioXQtd]],TabelaVendas1__2[[#This Row],[Valor_Lucro]])</f>
        <v>12110</v>
      </c>
      <c r="O477" s="2" t="s">
        <v>31</v>
      </c>
    </row>
    <row r="478" spans="1:15">
      <c r="A478" t="s">
        <v>281</v>
      </c>
      <c r="B478" t="s">
        <v>16</v>
      </c>
      <c r="C478" t="s">
        <v>17</v>
      </c>
      <c r="D478" t="s">
        <v>29</v>
      </c>
      <c r="E478" s="1">
        <v>45653</v>
      </c>
      <c r="F478" t="s">
        <v>30</v>
      </c>
      <c r="G478" t="str">
        <f ca="1">VLOOKUP(RAND(),{0,"Lucas";0.39,"Roberto";0.63,"Carla";0.78,"Pedro";0.93,"Emilly"},2,TRUE)</f>
        <v>Lucas</v>
      </c>
      <c r="H478">
        <v>1</v>
      </c>
      <c r="I478">
        <v>2150</v>
      </c>
      <c r="J478">
        <v>0.4</v>
      </c>
      <c r="K478">
        <f>PRODUCT(TabelaVendas1__2[[#This Row],[Valor_UnitarioXQtd]],TabelaVendas1__2[[#This Row],[Percentual_Lucro]])</f>
        <v>860</v>
      </c>
      <c r="L478">
        <v>2150</v>
      </c>
      <c r="M478">
        <f>PRODUCT(TabelaVendas1__2[[#This Row],[Quantidade]],TabelaVendas1__2[[#This Row],[Valor_Unitario]])</f>
        <v>2150</v>
      </c>
      <c r="N478">
        <f>SUM(TabelaVendas1__2[[#This Row],[Valor_UnitarioXQtd]],TabelaVendas1__2[[#This Row],[Valor_Lucro]])</f>
        <v>3010</v>
      </c>
      <c r="O478" s="2" t="s">
        <v>31</v>
      </c>
    </row>
    <row r="479" spans="1:15">
      <c r="A479" t="s">
        <v>116</v>
      </c>
      <c r="B479" t="s">
        <v>51</v>
      </c>
      <c r="C479" t="s">
        <v>17</v>
      </c>
      <c r="D479" t="s">
        <v>34</v>
      </c>
      <c r="E479" s="1">
        <v>45653</v>
      </c>
      <c r="F479" t="s">
        <v>19</v>
      </c>
      <c r="G479" t="str">
        <f ca="1">VLOOKUP(RAND(),{0,"Lucas";0.39,"Roberto";0.63,"Carla";0.78,"Pedro";0.93,"Emilly"},2,TRUE)</f>
        <v>Lucas</v>
      </c>
      <c r="H479">
        <v>1</v>
      </c>
      <c r="I479">
        <v>2750</v>
      </c>
      <c r="J479">
        <v>0.4</v>
      </c>
      <c r="K479">
        <f>PRODUCT(TabelaVendas1__2[[#This Row],[Valor_UnitarioXQtd]],TabelaVendas1__2[[#This Row],[Percentual_Lucro]])</f>
        <v>1100</v>
      </c>
      <c r="L479">
        <v>2750</v>
      </c>
      <c r="M479">
        <f>PRODUCT(TabelaVendas1__2[[#This Row],[Quantidade]],TabelaVendas1__2[[#This Row],[Valor_Unitario]])</f>
        <v>2750</v>
      </c>
      <c r="N479">
        <f>SUM(TabelaVendas1__2[[#This Row],[Valor_UnitarioXQtd]],TabelaVendas1__2[[#This Row],[Valor_Lucro]])</f>
        <v>3850</v>
      </c>
      <c r="O479" s="2" t="s">
        <v>35</v>
      </c>
    </row>
    <row r="480" spans="1:15">
      <c r="A480" t="s">
        <v>282</v>
      </c>
      <c r="B480" t="s">
        <v>22</v>
      </c>
      <c r="C480" t="s">
        <v>23</v>
      </c>
      <c r="D480" t="s">
        <v>42</v>
      </c>
      <c r="E480" s="1">
        <v>45686</v>
      </c>
      <c r="F480" t="s">
        <v>30</v>
      </c>
      <c r="G480" t="str">
        <f ca="1">VLOOKUP(RAND(),{0,"Lucas";0.39,"Roberto";0.63,"Carla";0.78,"Pedro";0.93,"Emilly"},2,TRUE)</f>
        <v>Lucas</v>
      </c>
      <c r="H480">
        <v>1</v>
      </c>
      <c r="I480">
        <v>1300</v>
      </c>
      <c r="J480">
        <v>0.4</v>
      </c>
      <c r="K480">
        <f>PRODUCT(TabelaVendas1__2[[#This Row],[Valor_UnitarioXQtd]],TabelaVendas1__2[[#This Row],[Percentual_Lucro]])</f>
        <v>520</v>
      </c>
      <c r="L480">
        <v>1300</v>
      </c>
      <c r="M480">
        <f>PRODUCT(TabelaVendas1__2[[#This Row],[Quantidade]],TabelaVendas1__2[[#This Row],[Valor_Unitario]])</f>
        <v>1300</v>
      </c>
      <c r="N480">
        <f>SUM(TabelaVendas1__2[[#This Row],[Valor_UnitarioXQtd]],TabelaVendas1__2[[#This Row],[Valor_Lucro]])</f>
        <v>1820</v>
      </c>
      <c r="O480" s="2" t="s">
        <v>43</v>
      </c>
    </row>
    <row r="481" spans="1:15">
      <c r="A481" t="s">
        <v>282</v>
      </c>
      <c r="B481" t="s">
        <v>51</v>
      </c>
      <c r="C481" t="s">
        <v>17</v>
      </c>
      <c r="D481" t="s">
        <v>42</v>
      </c>
      <c r="E481" s="1">
        <v>45686</v>
      </c>
      <c r="F481" t="s">
        <v>27</v>
      </c>
      <c r="G481" t="str">
        <f ca="1">VLOOKUP(RAND(),{0,"Lucas";0.39,"Roberto";0.63,"Carla";0.78,"Pedro";0.93,"Emilly"},2,TRUE)</f>
        <v>Lucas</v>
      </c>
      <c r="H481">
        <v>1</v>
      </c>
      <c r="I481">
        <v>1650</v>
      </c>
      <c r="J481">
        <v>0.4</v>
      </c>
      <c r="K481">
        <f>PRODUCT(TabelaVendas1__2[[#This Row],[Valor_UnitarioXQtd]],TabelaVendas1__2[[#This Row],[Percentual_Lucro]])</f>
        <v>660</v>
      </c>
      <c r="L481">
        <v>1650</v>
      </c>
      <c r="M481">
        <f>PRODUCT(TabelaVendas1__2[[#This Row],[Quantidade]],TabelaVendas1__2[[#This Row],[Valor_Unitario]])</f>
        <v>1650</v>
      </c>
      <c r="N481">
        <f>SUM(TabelaVendas1__2[[#This Row],[Valor_UnitarioXQtd]],TabelaVendas1__2[[#This Row],[Valor_Lucro]])</f>
        <v>2310</v>
      </c>
      <c r="O481" s="2" t="s">
        <v>43</v>
      </c>
    </row>
    <row r="482" spans="1:15">
      <c r="A482" t="s">
        <v>282</v>
      </c>
      <c r="B482" t="s">
        <v>283</v>
      </c>
      <c r="C482" t="s">
        <v>17</v>
      </c>
      <c r="D482" t="s">
        <v>42</v>
      </c>
      <c r="E482" s="1">
        <v>45686</v>
      </c>
      <c r="F482" t="s">
        <v>30</v>
      </c>
      <c r="G482" t="str">
        <f ca="1">VLOOKUP(RAND(),{0,"Lucas";0.39,"Roberto";0.63,"Carla";0.78,"Pedro";0.93,"Emilly"},2,TRUE)</f>
        <v>Emilly</v>
      </c>
      <c r="H482">
        <v>1</v>
      </c>
      <c r="I482">
        <v>1300</v>
      </c>
      <c r="J482">
        <v>0.4</v>
      </c>
      <c r="K482">
        <f>PRODUCT(TabelaVendas1__2[[#This Row],[Valor_UnitarioXQtd]],TabelaVendas1__2[[#This Row],[Percentual_Lucro]])</f>
        <v>520</v>
      </c>
      <c r="L482">
        <v>1300</v>
      </c>
      <c r="M482">
        <f>PRODUCT(TabelaVendas1__2[[#This Row],[Quantidade]],TabelaVendas1__2[[#This Row],[Valor_Unitario]])</f>
        <v>1300</v>
      </c>
      <c r="N482">
        <f>SUM(TabelaVendas1__2[[#This Row],[Valor_UnitarioXQtd]],TabelaVendas1__2[[#This Row],[Valor_Lucro]])</f>
        <v>1820</v>
      </c>
      <c r="O482" s="2" t="s">
        <v>43</v>
      </c>
    </row>
    <row r="483" spans="1:15">
      <c r="A483" t="s">
        <v>134</v>
      </c>
      <c r="B483" t="s">
        <v>22</v>
      </c>
      <c r="C483" t="s">
        <v>23</v>
      </c>
      <c r="D483" t="s">
        <v>42</v>
      </c>
      <c r="E483" s="1">
        <v>45686</v>
      </c>
      <c r="F483" t="s">
        <v>19</v>
      </c>
      <c r="G483" t="str">
        <f ca="1">VLOOKUP(RAND(),{0,"Lucas";0.39,"Roberto";0.63,"Carla";0.78,"Pedro";0.93,"Emilly"},2,TRUE)</f>
        <v>Lucas</v>
      </c>
      <c r="H483">
        <v>1</v>
      </c>
      <c r="I483">
        <v>6300</v>
      </c>
      <c r="J483">
        <v>0.4</v>
      </c>
      <c r="K483">
        <f>PRODUCT(TabelaVendas1__2[[#This Row],[Valor_UnitarioXQtd]],TabelaVendas1__2[[#This Row],[Percentual_Lucro]])</f>
        <v>2520</v>
      </c>
      <c r="L483">
        <v>6300</v>
      </c>
      <c r="M483">
        <f>PRODUCT(TabelaVendas1__2[[#This Row],[Quantidade]],TabelaVendas1__2[[#This Row],[Valor_Unitario]])</f>
        <v>6300</v>
      </c>
      <c r="N483">
        <f>SUM(TabelaVendas1__2[[#This Row],[Valor_UnitarioXQtd]],TabelaVendas1__2[[#This Row],[Valor_Lucro]])</f>
        <v>8820</v>
      </c>
      <c r="O483" s="2" t="s">
        <v>43</v>
      </c>
    </row>
    <row r="484" spans="1:15">
      <c r="A484" t="s">
        <v>284</v>
      </c>
      <c r="B484" t="s">
        <v>22</v>
      </c>
      <c r="C484" t="s">
        <v>23</v>
      </c>
      <c r="D484" t="s">
        <v>42</v>
      </c>
      <c r="E484" s="1">
        <v>45686</v>
      </c>
      <c r="F484" t="s">
        <v>30</v>
      </c>
      <c r="G484" t="str">
        <f ca="1">VLOOKUP(RAND(),{0,"Lucas";0.39,"Roberto";0.63,"Carla";0.78,"Pedro";0.93,"Emilly"},2,TRUE)</f>
        <v>Pedro</v>
      </c>
      <c r="H484">
        <v>1</v>
      </c>
      <c r="I484">
        <v>5600</v>
      </c>
      <c r="J484">
        <v>0.4</v>
      </c>
      <c r="K484">
        <f>PRODUCT(TabelaVendas1__2[[#This Row],[Valor_UnitarioXQtd]],TabelaVendas1__2[[#This Row],[Percentual_Lucro]])</f>
        <v>2240</v>
      </c>
      <c r="L484">
        <v>5600</v>
      </c>
      <c r="M484">
        <f>PRODUCT(TabelaVendas1__2[[#This Row],[Quantidade]],TabelaVendas1__2[[#This Row],[Valor_Unitario]])</f>
        <v>5600</v>
      </c>
      <c r="N484">
        <f>SUM(TabelaVendas1__2[[#This Row],[Valor_UnitarioXQtd]],TabelaVendas1__2[[#This Row],[Valor_Lucro]])</f>
        <v>7840</v>
      </c>
      <c r="O484" s="2" t="s">
        <v>43</v>
      </c>
    </row>
    <row r="485" spans="1:15">
      <c r="A485" t="s">
        <v>210</v>
      </c>
      <c r="B485" t="s">
        <v>22</v>
      </c>
      <c r="C485" t="s">
        <v>23</v>
      </c>
      <c r="D485" t="s">
        <v>24</v>
      </c>
      <c r="E485" s="1">
        <v>45686</v>
      </c>
      <c r="F485" t="s">
        <v>27</v>
      </c>
      <c r="G485" t="str">
        <f ca="1">VLOOKUP(RAND(),{0,"Lucas";0.39,"Roberto";0.63,"Carla";0.78,"Pedro";0.93,"Emilly"},2,TRUE)</f>
        <v>Lucas</v>
      </c>
      <c r="H485">
        <v>1</v>
      </c>
      <c r="I485">
        <v>5100</v>
      </c>
      <c r="J485">
        <v>0.4</v>
      </c>
      <c r="K485">
        <f>PRODUCT(TabelaVendas1__2[[#This Row],[Valor_UnitarioXQtd]],TabelaVendas1__2[[#This Row],[Percentual_Lucro]])</f>
        <v>2040</v>
      </c>
      <c r="L485">
        <v>5100</v>
      </c>
      <c r="M485">
        <f>PRODUCT(TabelaVendas1__2[[#This Row],[Quantidade]],TabelaVendas1__2[[#This Row],[Valor_Unitario]])</f>
        <v>5100</v>
      </c>
      <c r="N485">
        <f>SUM(TabelaVendas1__2[[#This Row],[Valor_UnitarioXQtd]],TabelaVendas1__2[[#This Row],[Valor_Lucro]])</f>
        <v>7140</v>
      </c>
      <c r="O485" s="2" t="s">
        <v>25</v>
      </c>
    </row>
    <row r="486" spans="1:15">
      <c r="A486" t="s">
        <v>285</v>
      </c>
      <c r="B486" t="s">
        <v>22</v>
      </c>
      <c r="C486" t="s">
        <v>23</v>
      </c>
      <c r="D486" t="s">
        <v>24</v>
      </c>
      <c r="E486" s="1">
        <v>45715</v>
      </c>
      <c r="F486" t="s">
        <v>30</v>
      </c>
      <c r="G486" t="str">
        <f ca="1">VLOOKUP(RAND(),{0,"Lucas";0.39,"Roberto";0.63,"Carla";0.78,"Pedro";0.93,"Emilly"},2,TRUE)</f>
        <v>Lucas</v>
      </c>
      <c r="H486">
        <v>1</v>
      </c>
      <c r="I486">
        <v>5650</v>
      </c>
      <c r="J486">
        <v>0.4</v>
      </c>
      <c r="K486">
        <f>PRODUCT(TabelaVendas1__2[[#This Row],[Valor_UnitarioXQtd]],TabelaVendas1__2[[#This Row],[Percentual_Lucro]])</f>
        <v>2260</v>
      </c>
      <c r="L486">
        <v>5650</v>
      </c>
      <c r="M486">
        <f>PRODUCT(TabelaVendas1__2[[#This Row],[Quantidade]],TabelaVendas1__2[[#This Row],[Valor_Unitario]])</f>
        <v>5650</v>
      </c>
      <c r="N486">
        <f>SUM(TabelaVendas1__2[[#This Row],[Valor_UnitarioXQtd]],TabelaVendas1__2[[#This Row],[Valor_Lucro]])</f>
        <v>7910</v>
      </c>
      <c r="O486" s="2" t="s">
        <v>25</v>
      </c>
    </row>
    <row r="487" spans="1:15">
      <c r="A487" t="s">
        <v>64</v>
      </c>
      <c r="B487" t="s">
        <v>22</v>
      </c>
      <c r="C487" t="s">
        <v>23</v>
      </c>
      <c r="D487" t="s">
        <v>18</v>
      </c>
      <c r="E487" s="1">
        <v>45715</v>
      </c>
      <c r="F487" t="s">
        <v>19</v>
      </c>
      <c r="G487" t="str">
        <f ca="1">VLOOKUP(RAND(),{0,"Lucas";0.39,"Roberto";0.63,"Carla";0.78,"Pedro";0.93,"Emilly"},2,TRUE)</f>
        <v>Lucas</v>
      </c>
      <c r="H487">
        <v>1</v>
      </c>
      <c r="I487">
        <v>7150</v>
      </c>
      <c r="J487">
        <v>0.4</v>
      </c>
      <c r="K487">
        <f>PRODUCT(TabelaVendas1__2[[#This Row],[Valor_UnitarioXQtd]],TabelaVendas1__2[[#This Row],[Percentual_Lucro]])</f>
        <v>2860</v>
      </c>
      <c r="L487">
        <v>7150</v>
      </c>
      <c r="M487">
        <f>PRODUCT(TabelaVendas1__2[[#This Row],[Quantidade]],TabelaVendas1__2[[#This Row],[Valor_Unitario]])</f>
        <v>7150</v>
      </c>
      <c r="N487">
        <f>SUM(TabelaVendas1__2[[#This Row],[Valor_UnitarioXQtd]],TabelaVendas1__2[[#This Row],[Valor_Lucro]])</f>
        <v>10010</v>
      </c>
      <c r="O487" s="2" t="s">
        <v>20</v>
      </c>
    </row>
    <row r="488" spans="1:15">
      <c r="A488" t="s">
        <v>286</v>
      </c>
      <c r="B488" t="s">
        <v>22</v>
      </c>
      <c r="C488" t="s">
        <v>23</v>
      </c>
      <c r="D488" t="s">
        <v>54</v>
      </c>
      <c r="E488" s="1">
        <v>45715</v>
      </c>
      <c r="F488" t="s">
        <v>19</v>
      </c>
      <c r="G488" t="str">
        <f ca="1">VLOOKUP(RAND(),{0,"Lucas";0.39,"Roberto";0.63,"Carla";0.78,"Pedro";0.93,"Emilly"},2,TRUE)</f>
        <v>Roberto</v>
      </c>
      <c r="H488">
        <v>1</v>
      </c>
      <c r="I488">
        <v>3650</v>
      </c>
      <c r="J488">
        <v>0.4</v>
      </c>
      <c r="K488">
        <f>PRODUCT(TabelaVendas1__2[[#This Row],[Valor_UnitarioXQtd]],TabelaVendas1__2[[#This Row],[Percentual_Lucro]])</f>
        <v>1460</v>
      </c>
      <c r="L488">
        <v>3650</v>
      </c>
      <c r="M488">
        <f>PRODUCT(TabelaVendas1__2[[#This Row],[Quantidade]],TabelaVendas1__2[[#This Row],[Valor_Unitario]])</f>
        <v>3650</v>
      </c>
      <c r="N488">
        <f>SUM(TabelaVendas1__2[[#This Row],[Valor_UnitarioXQtd]],TabelaVendas1__2[[#This Row],[Valor_Lucro]])</f>
        <v>5110</v>
      </c>
      <c r="O488" s="2" t="s">
        <v>55</v>
      </c>
    </row>
    <row r="489" spans="1:15">
      <c r="A489" t="s">
        <v>287</v>
      </c>
      <c r="B489" t="s">
        <v>22</v>
      </c>
      <c r="C489" t="s">
        <v>23</v>
      </c>
      <c r="D489" t="s">
        <v>24</v>
      </c>
      <c r="E489" s="1">
        <v>45727</v>
      </c>
      <c r="F489" t="s">
        <v>27</v>
      </c>
      <c r="G489" t="str">
        <f ca="1">VLOOKUP(RAND(),{0,"Lucas";0.39,"Roberto";0.63,"Carla";0.78,"Pedro";0.93,"Emilly"},2,TRUE)</f>
        <v>Carla</v>
      </c>
      <c r="H489">
        <v>1</v>
      </c>
      <c r="I489">
        <v>11500</v>
      </c>
      <c r="J489">
        <v>0.4</v>
      </c>
      <c r="K489">
        <f>PRODUCT(TabelaVendas1__2[[#This Row],[Valor_UnitarioXQtd]],TabelaVendas1__2[[#This Row],[Percentual_Lucro]])</f>
        <v>4600</v>
      </c>
      <c r="L489">
        <v>11500</v>
      </c>
      <c r="M489">
        <f>PRODUCT(TabelaVendas1__2[[#This Row],[Quantidade]],TabelaVendas1__2[[#This Row],[Valor_Unitario]])</f>
        <v>11500</v>
      </c>
      <c r="N489">
        <f>SUM(TabelaVendas1__2[[#This Row],[Valor_UnitarioXQtd]],TabelaVendas1__2[[#This Row],[Valor_Lucro]])</f>
        <v>16100</v>
      </c>
      <c r="O489" s="2" t="s">
        <v>25</v>
      </c>
    </row>
    <row r="490" spans="1:15">
      <c r="A490" t="s">
        <v>288</v>
      </c>
      <c r="B490" t="s">
        <v>22</v>
      </c>
      <c r="C490" t="s">
        <v>23</v>
      </c>
      <c r="D490" t="s">
        <v>34</v>
      </c>
      <c r="E490" s="1">
        <v>45727</v>
      </c>
      <c r="F490" t="s">
        <v>19</v>
      </c>
      <c r="G490" t="str">
        <f ca="1">VLOOKUP(RAND(),{0,"Lucas";0.39,"Roberto";0.63,"Carla";0.78,"Pedro";0.93,"Emilly"},2,TRUE)</f>
        <v>Pedro</v>
      </c>
      <c r="H490">
        <v>1</v>
      </c>
      <c r="I490">
        <v>2650</v>
      </c>
      <c r="J490">
        <v>0.4</v>
      </c>
      <c r="K490">
        <f>PRODUCT(TabelaVendas1__2[[#This Row],[Valor_UnitarioXQtd]],TabelaVendas1__2[[#This Row],[Percentual_Lucro]])</f>
        <v>1060</v>
      </c>
      <c r="L490">
        <v>2650</v>
      </c>
      <c r="M490">
        <f>PRODUCT(TabelaVendas1__2[[#This Row],[Quantidade]],TabelaVendas1__2[[#This Row],[Valor_Unitario]])</f>
        <v>2650</v>
      </c>
      <c r="N490">
        <f>SUM(TabelaVendas1__2[[#This Row],[Valor_UnitarioXQtd]],TabelaVendas1__2[[#This Row],[Valor_Lucro]])</f>
        <v>3710</v>
      </c>
      <c r="O490" s="2" t="s">
        <v>35</v>
      </c>
    </row>
    <row r="491" spans="1:15">
      <c r="A491" t="s">
        <v>64</v>
      </c>
      <c r="B491" t="s">
        <v>22</v>
      </c>
      <c r="C491" t="s">
        <v>23</v>
      </c>
      <c r="D491" t="s">
        <v>18</v>
      </c>
      <c r="E491" s="1">
        <v>45777</v>
      </c>
      <c r="F491" t="s">
        <v>30</v>
      </c>
      <c r="G491" t="str">
        <f ca="1">VLOOKUP(RAND(),{0,"Lucas";0.39,"Roberto";0.63,"Carla";0.78,"Pedro";0.93,"Emilly"},2,TRUE)</f>
        <v>Lucas</v>
      </c>
      <c r="H491">
        <v>1</v>
      </c>
      <c r="I491">
        <v>20000</v>
      </c>
      <c r="J491">
        <v>0.4</v>
      </c>
      <c r="K491">
        <f>PRODUCT(TabelaVendas1__2[[#This Row],[Valor_UnitarioXQtd]],TabelaVendas1__2[[#This Row],[Percentual_Lucro]])</f>
        <v>8000</v>
      </c>
      <c r="L491">
        <v>20000</v>
      </c>
      <c r="M491">
        <f>PRODUCT(TabelaVendas1__2[[#This Row],[Quantidade]],TabelaVendas1__2[[#This Row],[Valor_Unitario]])</f>
        <v>20000</v>
      </c>
      <c r="N491">
        <f>SUM(TabelaVendas1__2[[#This Row],[Valor_UnitarioXQtd]],TabelaVendas1__2[[#This Row],[Valor_Lucro]])</f>
        <v>28000</v>
      </c>
      <c r="O491" s="2" t="s">
        <v>20</v>
      </c>
    </row>
    <row r="492" spans="1:15">
      <c r="A492" t="s">
        <v>263</v>
      </c>
      <c r="B492" t="s">
        <v>51</v>
      </c>
      <c r="C492" t="s">
        <v>17</v>
      </c>
      <c r="D492" t="s">
        <v>42</v>
      </c>
      <c r="E492" s="1">
        <v>45786</v>
      </c>
      <c r="F492" t="s">
        <v>27</v>
      </c>
      <c r="G492" t="str">
        <f ca="1">VLOOKUP(RAND(),{0,"Lucas";0.39,"Roberto";0.63,"Carla";0.78,"Pedro";0.93,"Emilly"},2,TRUE)</f>
        <v>Roberto</v>
      </c>
      <c r="H492">
        <v>1</v>
      </c>
      <c r="I492">
        <v>750</v>
      </c>
      <c r="J492">
        <v>0.4</v>
      </c>
      <c r="K492">
        <f>PRODUCT(TabelaVendas1__2[[#This Row],[Valor_UnitarioXQtd]],TabelaVendas1__2[[#This Row],[Percentual_Lucro]])</f>
        <v>300</v>
      </c>
      <c r="L492">
        <v>750</v>
      </c>
      <c r="M492">
        <f>PRODUCT(TabelaVendas1__2[[#This Row],[Quantidade]],TabelaVendas1__2[[#This Row],[Valor_Unitario]])</f>
        <v>750</v>
      </c>
      <c r="N492">
        <f>SUM(TabelaVendas1__2[[#This Row],[Valor_UnitarioXQtd]],TabelaVendas1__2[[#This Row],[Valor_Lucro]])</f>
        <v>1050</v>
      </c>
      <c r="O492" s="2" t="s">
        <v>43</v>
      </c>
    </row>
    <row r="493" spans="1:15">
      <c r="A493" t="s">
        <v>289</v>
      </c>
      <c r="B493" t="s">
        <v>22</v>
      </c>
      <c r="C493" t="s">
        <v>23</v>
      </c>
      <c r="D493" t="s">
        <v>121</v>
      </c>
      <c r="E493" s="1">
        <v>45805</v>
      </c>
      <c r="F493" t="s">
        <v>30</v>
      </c>
      <c r="G493" t="str">
        <f ca="1">VLOOKUP(RAND(),{0,"Lucas";0.39,"Roberto";0.63,"Carla";0.78,"Pedro";0.93,"Emilly"},2,TRUE)</f>
        <v>Roberto</v>
      </c>
      <c r="H493">
        <v>1</v>
      </c>
      <c r="I493">
        <v>1650</v>
      </c>
      <c r="J493">
        <v>0.4</v>
      </c>
      <c r="K493">
        <f>PRODUCT(TabelaVendas1__2[[#This Row],[Valor_UnitarioXQtd]],TabelaVendas1__2[[#This Row],[Percentual_Lucro]])</f>
        <v>660</v>
      </c>
      <c r="L493">
        <v>1650</v>
      </c>
      <c r="M493">
        <f>PRODUCT(TabelaVendas1__2[[#This Row],[Quantidade]],TabelaVendas1__2[[#This Row],[Valor_Unitario]])</f>
        <v>1650</v>
      </c>
      <c r="N493">
        <f>SUM(TabelaVendas1__2[[#This Row],[Valor_UnitarioXQtd]],TabelaVendas1__2[[#This Row],[Valor_Lucro]])</f>
        <v>2310</v>
      </c>
      <c r="O493" s="2" t="s">
        <v>122</v>
      </c>
    </row>
    <row r="494" spans="1:15">
      <c r="A494" t="s">
        <v>120</v>
      </c>
      <c r="B494" t="s">
        <v>22</v>
      </c>
      <c r="C494" t="s">
        <v>23</v>
      </c>
      <c r="D494" t="s">
        <v>121</v>
      </c>
      <c r="E494" s="1">
        <v>45805</v>
      </c>
      <c r="F494" t="s">
        <v>27</v>
      </c>
      <c r="G494" t="str">
        <f ca="1">VLOOKUP(RAND(),{0,"Lucas";0.39,"Roberto";0.63,"Carla";0.78,"Pedro";0.93,"Emilly"},2,TRUE)</f>
        <v>Pedro</v>
      </c>
      <c r="H494">
        <v>1</v>
      </c>
      <c r="I494">
        <v>1050</v>
      </c>
      <c r="J494">
        <v>0.4</v>
      </c>
      <c r="K494">
        <f>PRODUCT(TabelaVendas1__2[[#This Row],[Valor_UnitarioXQtd]],TabelaVendas1__2[[#This Row],[Percentual_Lucro]])</f>
        <v>420</v>
      </c>
      <c r="L494">
        <v>1050</v>
      </c>
      <c r="M494">
        <f>PRODUCT(TabelaVendas1__2[[#This Row],[Quantidade]],TabelaVendas1__2[[#This Row],[Valor_Unitario]])</f>
        <v>1050</v>
      </c>
      <c r="N494">
        <f>SUM(TabelaVendas1__2[[#This Row],[Valor_UnitarioXQtd]],TabelaVendas1__2[[#This Row],[Valor_Lucro]])</f>
        <v>1470</v>
      </c>
      <c r="O494" s="2" t="s">
        <v>122</v>
      </c>
    </row>
    <row r="495" spans="1:15">
      <c r="A495" t="s">
        <v>209</v>
      </c>
      <c r="B495" t="s">
        <v>22</v>
      </c>
      <c r="C495" t="s">
        <v>23</v>
      </c>
      <c r="D495" t="s">
        <v>24</v>
      </c>
      <c r="E495" s="1">
        <v>45805</v>
      </c>
      <c r="F495" t="s">
        <v>30</v>
      </c>
      <c r="G495" t="str">
        <f ca="1">VLOOKUP(RAND(),{0,"Lucas";0.39,"Roberto";0.63,"Carla";0.78,"Pedro";0.93,"Emilly"},2,TRUE)</f>
        <v>Pedro</v>
      </c>
      <c r="H495">
        <v>1</v>
      </c>
      <c r="I495">
        <v>5000</v>
      </c>
      <c r="J495">
        <v>0.4</v>
      </c>
      <c r="K495">
        <f>PRODUCT(TabelaVendas1__2[[#This Row],[Valor_UnitarioXQtd]],TabelaVendas1__2[[#This Row],[Percentual_Lucro]])</f>
        <v>2000</v>
      </c>
      <c r="L495">
        <v>5000</v>
      </c>
      <c r="M495">
        <f>PRODUCT(TabelaVendas1__2[[#This Row],[Quantidade]],TabelaVendas1__2[[#This Row],[Valor_Unitario]])</f>
        <v>5000</v>
      </c>
      <c r="N495">
        <f>SUM(TabelaVendas1__2[[#This Row],[Valor_UnitarioXQtd]],TabelaVendas1__2[[#This Row],[Valor_Lucro]])</f>
        <v>7000</v>
      </c>
      <c r="O495" s="2" t="s">
        <v>25</v>
      </c>
    </row>
    <row r="496" spans="1:15">
      <c r="A496" t="s">
        <v>290</v>
      </c>
      <c r="B496" t="s">
        <v>22</v>
      </c>
      <c r="C496" t="s">
        <v>23</v>
      </c>
      <c r="D496" t="s">
        <v>34</v>
      </c>
      <c r="E496" s="1">
        <v>45805</v>
      </c>
      <c r="F496" t="s">
        <v>27</v>
      </c>
      <c r="G496" t="str">
        <f ca="1">VLOOKUP(RAND(),{0,"Lucas";0.39,"Roberto";0.63,"Carla";0.78,"Pedro";0.93,"Emilly"},2,TRUE)</f>
        <v>Roberto</v>
      </c>
      <c r="H496">
        <v>1</v>
      </c>
      <c r="I496">
        <v>6150</v>
      </c>
      <c r="J496">
        <v>0.4</v>
      </c>
      <c r="K496">
        <f>PRODUCT(TabelaVendas1__2[[#This Row],[Valor_UnitarioXQtd]],TabelaVendas1__2[[#This Row],[Percentual_Lucro]])</f>
        <v>2460</v>
      </c>
      <c r="L496">
        <v>6150</v>
      </c>
      <c r="M496">
        <f>PRODUCT(TabelaVendas1__2[[#This Row],[Quantidade]],TabelaVendas1__2[[#This Row],[Valor_Unitario]])</f>
        <v>6150</v>
      </c>
      <c r="N496">
        <f>SUM(TabelaVendas1__2[[#This Row],[Valor_UnitarioXQtd]],TabelaVendas1__2[[#This Row],[Valor_Lucro]])</f>
        <v>8610</v>
      </c>
      <c r="O496" s="2" t="s">
        <v>35</v>
      </c>
    </row>
    <row r="497" spans="1:15">
      <c r="A497" t="s">
        <v>291</v>
      </c>
      <c r="B497" t="s">
        <v>22</v>
      </c>
      <c r="C497" t="s">
        <v>23</v>
      </c>
      <c r="D497" t="s">
        <v>42</v>
      </c>
      <c r="E497" s="1">
        <v>45831</v>
      </c>
      <c r="F497" t="s">
        <v>19</v>
      </c>
      <c r="G497" t="str">
        <f ca="1">VLOOKUP(RAND(),{0,"Lucas";0.39,"Roberto";0.63,"Carla";0.78,"Pedro";0.93,"Emilly"},2,TRUE)</f>
        <v>Lucas</v>
      </c>
      <c r="H497">
        <v>1</v>
      </c>
      <c r="I497">
        <v>13200</v>
      </c>
      <c r="J497">
        <v>0.4</v>
      </c>
      <c r="K497">
        <f>PRODUCT(TabelaVendas1__2[[#This Row],[Valor_UnitarioXQtd]],TabelaVendas1__2[[#This Row],[Percentual_Lucro]])</f>
        <v>5280</v>
      </c>
      <c r="L497">
        <v>13200</v>
      </c>
      <c r="M497">
        <f>PRODUCT(TabelaVendas1__2[[#This Row],[Quantidade]],TabelaVendas1__2[[#This Row],[Valor_Unitario]])</f>
        <v>13200</v>
      </c>
      <c r="N497">
        <f>SUM(TabelaVendas1__2[[#This Row],[Valor_UnitarioXQtd]],TabelaVendas1__2[[#This Row],[Valor_Lucro]])</f>
        <v>18480</v>
      </c>
      <c r="O497" s="2" t="s">
        <v>43</v>
      </c>
    </row>
    <row r="498" spans="1:15">
      <c r="A498" t="s">
        <v>292</v>
      </c>
      <c r="B498" t="s">
        <v>22</v>
      </c>
      <c r="C498" t="s">
        <v>23</v>
      </c>
      <c r="D498" t="s">
        <v>42</v>
      </c>
      <c r="E498" s="1">
        <v>45831</v>
      </c>
      <c r="F498" t="s">
        <v>27</v>
      </c>
      <c r="G498" t="str">
        <f ca="1">VLOOKUP(RAND(),{0,"Lucas";0.39,"Roberto";0.63,"Carla";0.78,"Pedro";0.93,"Emilly"},2,TRUE)</f>
        <v>Carla</v>
      </c>
      <c r="H498">
        <v>1</v>
      </c>
      <c r="I498">
        <v>1800</v>
      </c>
      <c r="J498">
        <v>0.4</v>
      </c>
      <c r="K498">
        <f>PRODUCT(TabelaVendas1__2[[#This Row],[Valor_UnitarioXQtd]],TabelaVendas1__2[[#This Row],[Percentual_Lucro]])</f>
        <v>720</v>
      </c>
      <c r="L498">
        <v>1800</v>
      </c>
      <c r="M498">
        <f>PRODUCT(TabelaVendas1__2[[#This Row],[Quantidade]],TabelaVendas1__2[[#This Row],[Valor_Unitario]])</f>
        <v>1800</v>
      </c>
      <c r="N498">
        <f>SUM(TabelaVendas1__2[[#This Row],[Valor_UnitarioXQtd]],TabelaVendas1__2[[#This Row],[Valor_Lucro]])</f>
        <v>2520</v>
      </c>
      <c r="O498" s="2" t="s">
        <v>43</v>
      </c>
    </row>
    <row r="499" spans="1:15">
      <c r="A499" t="s">
        <v>263</v>
      </c>
      <c r="B499" t="s">
        <v>51</v>
      </c>
      <c r="C499" t="s">
        <v>17</v>
      </c>
      <c r="D499" t="s">
        <v>42</v>
      </c>
      <c r="E499" s="1">
        <v>45833</v>
      </c>
      <c r="F499" t="s">
        <v>19</v>
      </c>
      <c r="G499" t="str">
        <f ca="1">VLOOKUP(RAND(),{0,"Lucas";0.39,"Roberto";0.63,"Carla";0.78,"Pedro";0.93,"Emilly"},2,TRUE)</f>
        <v>Lucas</v>
      </c>
      <c r="H499">
        <v>1</v>
      </c>
      <c r="I499">
        <v>750</v>
      </c>
      <c r="J499">
        <v>0.4</v>
      </c>
      <c r="K499">
        <f>PRODUCT(TabelaVendas1__2[[#This Row],[Valor_UnitarioXQtd]],TabelaVendas1__2[[#This Row],[Percentual_Lucro]])</f>
        <v>300</v>
      </c>
      <c r="L499">
        <v>750</v>
      </c>
      <c r="M499">
        <f>PRODUCT(TabelaVendas1__2[[#This Row],[Quantidade]],TabelaVendas1__2[[#This Row],[Valor_Unitario]])</f>
        <v>750</v>
      </c>
      <c r="N499">
        <f>SUM(TabelaVendas1__2[[#This Row],[Valor_UnitarioXQtd]],TabelaVendas1__2[[#This Row],[Valor_Lucro]])</f>
        <v>1050</v>
      </c>
      <c r="O499" s="2" t="s">
        <v>43</v>
      </c>
    </row>
    <row r="500" spans="1:15">
      <c r="A500" t="s">
        <v>62</v>
      </c>
      <c r="B500" t="s">
        <v>22</v>
      </c>
      <c r="C500" t="s">
        <v>23</v>
      </c>
      <c r="D500" t="s">
        <v>24</v>
      </c>
      <c r="E500" s="1">
        <v>45867</v>
      </c>
      <c r="F500" t="s">
        <v>30</v>
      </c>
      <c r="G500" t="str">
        <f ca="1">VLOOKUP(RAND(),{0,"Lucas";0.39,"Roberto";0.63,"Carla";0.78,"Pedro";0.93,"Emilly"},2,TRUE)</f>
        <v>Lucas</v>
      </c>
      <c r="H500">
        <v>1</v>
      </c>
      <c r="I500">
        <v>24400</v>
      </c>
      <c r="J500">
        <v>0.4</v>
      </c>
      <c r="K500">
        <f>PRODUCT(TabelaVendas1__2[[#This Row],[Valor_UnitarioXQtd]],TabelaVendas1__2[[#This Row],[Percentual_Lucro]])</f>
        <v>9760</v>
      </c>
      <c r="L500">
        <v>24400</v>
      </c>
      <c r="M500">
        <f>PRODUCT(TabelaVendas1__2[[#This Row],[Quantidade]],TabelaVendas1__2[[#This Row],[Valor_Unitario]])</f>
        <v>24400</v>
      </c>
      <c r="N500">
        <f>SUM(TabelaVendas1__2[[#This Row],[Valor_UnitarioXQtd]],TabelaVendas1__2[[#This Row],[Valor_Lucro]])</f>
        <v>34160</v>
      </c>
      <c r="O500" s="2" t="s">
        <v>25</v>
      </c>
    </row>
    <row r="501" spans="1:15">
      <c r="A501" t="s">
        <v>91</v>
      </c>
      <c r="B501" t="s">
        <v>51</v>
      </c>
      <c r="C501" t="s">
        <v>17</v>
      </c>
      <c r="D501" t="s">
        <v>18</v>
      </c>
      <c r="E501" s="1">
        <v>45897</v>
      </c>
      <c r="F501" t="s">
        <v>30</v>
      </c>
      <c r="G501" t="str">
        <f ca="1">VLOOKUP(RAND(),{0,"Lucas";0.39,"Roberto";0.63,"Carla";0.78,"Pedro";0.93,"Emilly"},2,TRUE)</f>
        <v>Lucas</v>
      </c>
      <c r="H501">
        <v>1</v>
      </c>
      <c r="I501">
        <v>16300</v>
      </c>
      <c r="J501">
        <v>0.4</v>
      </c>
      <c r="K501">
        <f>PRODUCT(TabelaVendas1__2[[#This Row],[Valor_UnitarioXQtd]],TabelaVendas1__2[[#This Row],[Percentual_Lucro]])</f>
        <v>6520</v>
      </c>
      <c r="L501">
        <v>16300</v>
      </c>
      <c r="M501">
        <f>PRODUCT(TabelaVendas1__2[[#This Row],[Quantidade]],TabelaVendas1__2[[#This Row],[Valor_Unitario]])</f>
        <v>16300</v>
      </c>
      <c r="N501">
        <f>SUM(TabelaVendas1__2[[#This Row],[Valor_UnitarioXQtd]],TabelaVendas1__2[[#This Row],[Valor_Lucro]])</f>
        <v>22820</v>
      </c>
      <c r="O501" s="2" t="s">
        <v>20</v>
      </c>
    </row>
    <row r="502" spans="1:15">
      <c r="A502" t="s">
        <v>293</v>
      </c>
      <c r="B502" t="s">
        <v>22</v>
      </c>
      <c r="C502" t="s">
        <v>23</v>
      </c>
      <c r="D502" t="s">
        <v>24</v>
      </c>
      <c r="E502" s="1">
        <v>45929</v>
      </c>
      <c r="F502" t="s">
        <v>19</v>
      </c>
      <c r="G502" t="str">
        <f ca="1">VLOOKUP(RAND(),{0,"Lucas";0.39,"Roberto";0.63,"Carla";0.78,"Pedro";0.93,"Emilly"},2,TRUE)</f>
        <v>Lucas</v>
      </c>
      <c r="H502">
        <v>1</v>
      </c>
      <c r="I502">
        <v>9900</v>
      </c>
      <c r="J502">
        <v>0.4</v>
      </c>
      <c r="K502">
        <f>PRODUCT(TabelaVendas1__2[[#This Row],[Valor_UnitarioXQtd]],TabelaVendas1__2[[#This Row],[Percentual_Lucro]])</f>
        <v>3960</v>
      </c>
      <c r="L502">
        <v>9900</v>
      </c>
      <c r="M502">
        <f>PRODUCT(TabelaVendas1__2[[#This Row],[Quantidade]],TabelaVendas1__2[[#This Row],[Valor_Unitario]])</f>
        <v>9900</v>
      </c>
      <c r="N502">
        <f>SUM(TabelaVendas1__2[[#This Row],[Valor_UnitarioXQtd]],TabelaVendas1__2[[#This Row],[Valor_Lucro]])</f>
        <v>13860</v>
      </c>
      <c r="O502" s="2" t="s">
        <v>25</v>
      </c>
    </row>
    <row r="503" spans="1:15">
      <c r="A503" t="s">
        <v>190</v>
      </c>
      <c r="B503" t="s">
        <v>22</v>
      </c>
      <c r="C503" t="s">
        <v>23</v>
      </c>
      <c r="D503" t="s">
        <v>18</v>
      </c>
      <c r="E503" s="1">
        <v>45929</v>
      </c>
      <c r="F503" t="s">
        <v>30</v>
      </c>
      <c r="G503" t="str">
        <f ca="1">VLOOKUP(RAND(),{0,"Lucas";0.39,"Roberto";0.63,"Carla";0.78,"Pedro";0.93,"Emilly"},2,TRUE)</f>
        <v>Emilly</v>
      </c>
      <c r="H503">
        <v>1</v>
      </c>
      <c r="I503">
        <v>11200</v>
      </c>
      <c r="J503">
        <v>0.4</v>
      </c>
      <c r="K503">
        <f>PRODUCT(TabelaVendas1__2[[#This Row],[Valor_UnitarioXQtd]],TabelaVendas1__2[[#This Row],[Percentual_Lucro]])</f>
        <v>4480</v>
      </c>
      <c r="L503">
        <v>11200</v>
      </c>
      <c r="M503">
        <f>PRODUCT(TabelaVendas1__2[[#This Row],[Quantidade]],TabelaVendas1__2[[#This Row],[Valor_Unitario]])</f>
        <v>11200</v>
      </c>
      <c r="N503">
        <f>SUM(TabelaVendas1__2[[#This Row],[Valor_UnitarioXQtd]],TabelaVendas1__2[[#This Row],[Valor_Lucro]])</f>
        <v>15680</v>
      </c>
      <c r="O503" s="2" t="s">
        <v>20</v>
      </c>
    </row>
    <row r="504" spans="1:15">
      <c r="A504" t="s">
        <v>294</v>
      </c>
      <c r="B504" t="s">
        <v>22</v>
      </c>
      <c r="C504" t="s">
        <v>23</v>
      </c>
      <c r="D504" t="s">
        <v>42</v>
      </c>
      <c r="E504" s="1">
        <v>45959</v>
      </c>
      <c r="F504" t="s">
        <v>19</v>
      </c>
      <c r="G504" t="str">
        <f ca="1">VLOOKUP(RAND(),{0,"Lucas";0.39,"Roberto";0.63,"Carla";0.78,"Pedro";0.93,"Emilly"},2,TRUE)</f>
        <v>Lucas</v>
      </c>
      <c r="H504">
        <v>1</v>
      </c>
      <c r="I504">
        <v>1250</v>
      </c>
      <c r="J504">
        <v>0.4</v>
      </c>
      <c r="K504">
        <f>PRODUCT(TabelaVendas1__2[[#This Row],[Valor_UnitarioXQtd]],TabelaVendas1__2[[#This Row],[Percentual_Lucro]])</f>
        <v>500</v>
      </c>
      <c r="L504">
        <v>1250</v>
      </c>
      <c r="M504">
        <f>PRODUCT(TabelaVendas1__2[[#This Row],[Quantidade]],TabelaVendas1__2[[#This Row],[Valor_Unitario]])</f>
        <v>1250</v>
      </c>
      <c r="N504">
        <f>SUM(TabelaVendas1__2[[#This Row],[Valor_UnitarioXQtd]],TabelaVendas1__2[[#This Row],[Valor_Lucro]])</f>
        <v>1750</v>
      </c>
      <c r="O504" s="2" t="s">
        <v>43</v>
      </c>
    </row>
    <row r="505" spans="1:15">
      <c r="A505" t="s">
        <v>226</v>
      </c>
      <c r="B505" t="s">
        <v>16</v>
      </c>
      <c r="C505" t="s">
        <v>17</v>
      </c>
      <c r="D505" t="s">
        <v>24</v>
      </c>
      <c r="E505" s="1">
        <v>45959</v>
      </c>
      <c r="F505" t="s">
        <v>19</v>
      </c>
      <c r="G505" t="str">
        <f ca="1">VLOOKUP(RAND(),{0,"Lucas";0.39,"Roberto";0.63,"Carla";0.78,"Pedro";0.93,"Emilly"},2,TRUE)</f>
        <v>Lucas</v>
      </c>
      <c r="H505">
        <v>1</v>
      </c>
      <c r="I505">
        <v>8200</v>
      </c>
      <c r="J505">
        <v>0.4</v>
      </c>
      <c r="K505">
        <f>PRODUCT(TabelaVendas1__2[[#This Row],[Valor_UnitarioXQtd]],TabelaVendas1__2[[#This Row],[Percentual_Lucro]])</f>
        <v>3280</v>
      </c>
      <c r="L505">
        <v>8200</v>
      </c>
      <c r="M505">
        <f>PRODUCT(TabelaVendas1__2[[#This Row],[Quantidade]],TabelaVendas1__2[[#This Row],[Valor_Unitario]])</f>
        <v>8200</v>
      </c>
      <c r="N505">
        <f>SUM(TabelaVendas1__2[[#This Row],[Valor_UnitarioXQtd]],TabelaVendas1__2[[#This Row],[Valor_Lucro]])</f>
        <v>11480</v>
      </c>
      <c r="O505" s="2" t="s">
        <v>25</v>
      </c>
    </row>
    <row r="506" spans="1:15">
      <c r="A506" t="s">
        <v>91</v>
      </c>
      <c r="B506" t="s">
        <v>22</v>
      </c>
      <c r="C506" t="s">
        <v>23</v>
      </c>
      <c r="D506" t="s">
        <v>18</v>
      </c>
      <c r="E506" s="1">
        <v>45959</v>
      </c>
      <c r="F506" t="s">
        <v>19</v>
      </c>
      <c r="G506" t="str">
        <f ca="1">VLOOKUP(RAND(),{0,"Lucas";0.39,"Roberto";0.63,"Carla";0.78,"Pedro";0.93,"Emilly"},2,TRUE)</f>
        <v>Pedro</v>
      </c>
      <c r="H506">
        <v>1</v>
      </c>
      <c r="I506">
        <v>4900</v>
      </c>
      <c r="J506">
        <v>0.4</v>
      </c>
      <c r="K506">
        <f>PRODUCT(TabelaVendas1__2[[#This Row],[Valor_UnitarioXQtd]],TabelaVendas1__2[[#This Row],[Percentual_Lucro]])</f>
        <v>1960</v>
      </c>
      <c r="L506">
        <v>4900</v>
      </c>
      <c r="M506">
        <f>PRODUCT(TabelaVendas1__2[[#This Row],[Quantidade]],TabelaVendas1__2[[#This Row],[Valor_Unitario]])</f>
        <v>4900</v>
      </c>
      <c r="N506">
        <f>SUM(TabelaVendas1__2[[#This Row],[Valor_UnitarioXQtd]],TabelaVendas1__2[[#This Row],[Valor_Lucro]])</f>
        <v>6860</v>
      </c>
      <c r="O506" s="2" t="s">
        <v>20</v>
      </c>
    </row>
    <row r="507" spans="1:15">
      <c r="A507" t="s">
        <v>113</v>
      </c>
      <c r="B507" t="s">
        <v>22</v>
      </c>
      <c r="C507" t="s">
        <v>23</v>
      </c>
      <c r="D507" t="s">
        <v>18</v>
      </c>
      <c r="E507" s="1">
        <v>45959</v>
      </c>
      <c r="F507" t="s">
        <v>30</v>
      </c>
      <c r="G507" t="str">
        <f ca="1">VLOOKUP(RAND(),{0,"Lucas";0.39,"Roberto";0.63,"Carla";0.78,"Pedro";0.93,"Emilly"},2,TRUE)</f>
        <v>Roberto</v>
      </c>
      <c r="H507">
        <v>1</v>
      </c>
      <c r="I507">
        <v>600</v>
      </c>
      <c r="J507">
        <v>0.4</v>
      </c>
      <c r="K507">
        <f>PRODUCT(TabelaVendas1__2[[#This Row],[Valor_UnitarioXQtd]],TabelaVendas1__2[[#This Row],[Percentual_Lucro]])</f>
        <v>240</v>
      </c>
      <c r="L507">
        <v>600</v>
      </c>
      <c r="M507">
        <f>PRODUCT(TabelaVendas1__2[[#This Row],[Quantidade]],TabelaVendas1__2[[#This Row],[Valor_Unitario]])</f>
        <v>600</v>
      </c>
      <c r="N507">
        <f>SUM(TabelaVendas1__2[[#This Row],[Valor_UnitarioXQtd]],TabelaVendas1__2[[#This Row],[Valor_Lucro]])</f>
        <v>840</v>
      </c>
      <c r="O507" s="2" t="s">
        <v>20</v>
      </c>
    </row>
    <row r="508" spans="1:15">
      <c r="A508" t="s">
        <v>295</v>
      </c>
      <c r="B508" t="s">
        <v>22</v>
      </c>
      <c r="C508" t="s">
        <v>23</v>
      </c>
      <c r="D508" t="s">
        <v>54</v>
      </c>
      <c r="E508" s="1">
        <v>45959</v>
      </c>
      <c r="F508" t="s">
        <v>27</v>
      </c>
      <c r="G508" t="str">
        <f ca="1">VLOOKUP(RAND(),{0,"Lucas";0.39,"Roberto";0.63,"Carla";0.78,"Pedro";0.93,"Emilly"},2,TRUE)</f>
        <v>Emilly</v>
      </c>
      <c r="H508">
        <v>1</v>
      </c>
      <c r="I508">
        <v>2250</v>
      </c>
      <c r="J508">
        <v>0.4</v>
      </c>
      <c r="K508">
        <f>PRODUCT(TabelaVendas1__2[[#This Row],[Valor_UnitarioXQtd]],TabelaVendas1__2[[#This Row],[Percentual_Lucro]])</f>
        <v>900</v>
      </c>
      <c r="L508">
        <v>2250</v>
      </c>
      <c r="M508">
        <f>PRODUCT(TabelaVendas1__2[[#This Row],[Quantidade]],TabelaVendas1__2[[#This Row],[Valor_Unitario]])</f>
        <v>2250</v>
      </c>
      <c r="N508">
        <f>SUM(TabelaVendas1__2[[#This Row],[Valor_UnitarioXQtd]],TabelaVendas1__2[[#This Row],[Valor_Lucro]])</f>
        <v>3150</v>
      </c>
      <c r="O508" s="2" t="s">
        <v>55</v>
      </c>
    </row>
    <row r="509" spans="1:15">
      <c r="A509" t="s">
        <v>142</v>
      </c>
      <c r="B509" t="s">
        <v>22</v>
      </c>
      <c r="C509" t="s">
        <v>23</v>
      </c>
      <c r="D509" t="s">
        <v>29</v>
      </c>
      <c r="E509" s="1">
        <v>45959</v>
      </c>
      <c r="F509" t="s">
        <v>19</v>
      </c>
      <c r="G509" t="str">
        <f ca="1">VLOOKUP(RAND(),{0,"Lucas";0.39,"Roberto";0.63,"Carla";0.78,"Pedro";0.93,"Emilly"},2,TRUE)</f>
        <v>Pedro</v>
      </c>
      <c r="H509">
        <v>1</v>
      </c>
      <c r="I509">
        <v>730</v>
      </c>
      <c r="J509">
        <v>0.4</v>
      </c>
      <c r="K509">
        <f>PRODUCT(TabelaVendas1__2[[#This Row],[Valor_UnitarioXQtd]],TabelaVendas1__2[[#This Row],[Percentual_Lucro]])</f>
        <v>292</v>
      </c>
      <c r="L509">
        <v>730</v>
      </c>
      <c r="M509">
        <f>PRODUCT(TabelaVendas1__2[[#This Row],[Quantidade]],TabelaVendas1__2[[#This Row],[Valor_Unitario]])</f>
        <v>730</v>
      </c>
      <c r="N509">
        <f>SUM(TabelaVendas1__2[[#This Row],[Valor_UnitarioXQtd]],TabelaVendas1__2[[#This Row],[Valor_Lucro]])</f>
        <v>1022</v>
      </c>
      <c r="O509" s="2" t="s">
        <v>31</v>
      </c>
    </row>
    <row r="510" spans="1:15">
      <c r="A510" t="s">
        <v>296</v>
      </c>
      <c r="B510" t="s">
        <v>51</v>
      </c>
      <c r="C510" t="s">
        <v>17</v>
      </c>
      <c r="D510" t="s">
        <v>18</v>
      </c>
      <c r="E510" s="1">
        <v>45987</v>
      </c>
      <c r="F510" t="s">
        <v>30</v>
      </c>
      <c r="G510" t="str">
        <f ca="1">VLOOKUP(RAND(),{0,"Lucas";0.39,"Roberto";0.63,"Carla";0.78,"Pedro";0.93,"Emilly"},2,TRUE)</f>
        <v>Carla</v>
      </c>
      <c r="H510">
        <v>1</v>
      </c>
      <c r="I510">
        <v>17500</v>
      </c>
      <c r="J510">
        <v>0.4</v>
      </c>
      <c r="K510">
        <f>PRODUCT(TabelaVendas1__2[[#This Row],[Valor_UnitarioXQtd]],TabelaVendas1__2[[#This Row],[Percentual_Lucro]])</f>
        <v>7000</v>
      </c>
      <c r="L510">
        <v>17500</v>
      </c>
      <c r="M510">
        <f>PRODUCT(TabelaVendas1__2[[#This Row],[Quantidade]],TabelaVendas1__2[[#This Row],[Valor_Unitario]])</f>
        <v>17500</v>
      </c>
      <c r="N510">
        <f>SUM(TabelaVendas1__2[[#This Row],[Valor_UnitarioXQtd]],TabelaVendas1__2[[#This Row],[Valor_Lucro]])</f>
        <v>24500</v>
      </c>
      <c r="O510" s="2" t="s">
        <v>20</v>
      </c>
    </row>
    <row r="511" spans="1:15">
      <c r="A511" t="s">
        <v>233</v>
      </c>
      <c r="B511" t="s">
        <v>22</v>
      </c>
      <c r="C511" t="s">
        <v>23</v>
      </c>
      <c r="D511" t="s">
        <v>97</v>
      </c>
      <c r="E511" s="1">
        <v>46013</v>
      </c>
      <c r="F511" t="s">
        <v>19</v>
      </c>
      <c r="G511" t="str">
        <f ca="1">VLOOKUP(RAND(),{0,"Lucas";0.39,"Roberto";0.63,"Carla";0.78,"Pedro";0.93,"Emilly"},2,TRUE)</f>
        <v>Pedro</v>
      </c>
      <c r="H511">
        <v>1</v>
      </c>
      <c r="I511">
        <v>520</v>
      </c>
      <c r="J511">
        <v>0.4</v>
      </c>
      <c r="K511">
        <f>PRODUCT(TabelaVendas1__2[[#This Row],[Valor_UnitarioXQtd]],TabelaVendas1__2[[#This Row],[Percentual_Lucro]])</f>
        <v>208</v>
      </c>
      <c r="L511">
        <v>520</v>
      </c>
      <c r="M511">
        <f>PRODUCT(TabelaVendas1__2[[#This Row],[Quantidade]],TabelaVendas1__2[[#This Row],[Valor_Unitario]])</f>
        <v>520</v>
      </c>
      <c r="N511">
        <f>SUM(TabelaVendas1__2[[#This Row],[Valor_UnitarioXQtd]],TabelaVendas1__2[[#This Row],[Valor_Lucro]])</f>
        <v>728</v>
      </c>
      <c r="O511" s="2" t="s">
        <v>98</v>
      </c>
    </row>
    <row r="512" spans="1:15">
      <c r="A512" t="s">
        <v>297</v>
      </c>
      <c r="B512" t="s">
        <v>22</v>
      </c>
      <c r="C512" t="s">
        <v>23</v>
      </c>
      <c r="D512" t="s">
        <v>18</v>
      </c>
      <c r="E512" s="1">
        <v>46013</v>
      </c>
      <c r="F512" t="s">
        <v>27</v>
      </c>
      <c r="G512" t="str">
        <f ca="1">VLOOKUP(RAND(),{0,"Lucas";0.39,"Roberto";0.63,"Carla";0.78,"Pedro";0.93,"Emilly"},2,TRUE)</f>
        <v>Roberto</v>
      </c>
      <c r="H512">
        <v>1</v>
      </c>
      <c r="I512">
        <v>12200</v>
      </c>
      <c r="J512">
        <v>0.4</v>
      </c>
      <c r="K512">
        <f>PRODUCT(TabelaVendas1__2[[#This Row],[Valor_UnitarioXQtd]],TabelaVendas1__2[[#This Row],[Percentual_Lucro]])</f>
        <v>4880</v>
      </c>
      <c r="L512">
        <v>12200</v>
      </c>
      <c r="M512">
        <f>PRODUCT(TabelaVendas1__2[[#This Row],[Quantidade]],TabelaVendas1__2[[#This Row],[Valor_Unitario]])</f>
        <v>12200</v>
      </c>
      <c r="N512">
        <f>SUM(TabelaVendas1__2[[#This Row],[Valor_UnitarioXQtd]],TabelaVendas1__2[[#This Row],[Valor_Lucro]])</f>
        <v>17080</v>
      </c>
      <c r="O512" s="2" t="s">
        <v>20</v>
      </c>
    </row>
    <row r="513" spans="1:15">
      <c r="A513" t="s">
        <v>113</v>
      </c>
      <c r="B513" t="s">
        <v>22</v>
      </c>
      <c r="C513" t="s">
        <v>23</v>
      </c>
      <c r="D513" t="s">
        <v>18</v>
      </c>
      <c r="E513" s="1">
        <v>46013</v>
      </c>
      <c r="F513" t="s">
        <v>27</v>
      </c>
      <c r="G513" t="str">
        <f ca="1">VLOOKUP(RAND(),{0,"Lucas";0.39,"Roberto";0.63,"Carla";0.78,"Pedro";0.93,"Emilly"},2,TRUE)</f>
        <v>Lucas</v>
      </c>
      <c r="H513">
        <v>1</v>
      </c>
      <c r="I513">
        <v>510</v>
      </c>
      <c r="J513">
        <v>0.4</v>
      </c>
      <c r="K513">
        <f>PRODUCT(TabelaVendas1__2[[#This Row],[Valor_UnitarioXQtd]],TabelaVendas1__2[[#This Row],[Percentual_Lucro]])</f>
        <v>204</v>
      </c>
      <c r="L513">
        <v>510</v>
      </c>
      <c r="M513">
        <f>PRODUCT(TabelaVendas1__2[[#This Row],[Quantidade]],TabelaVendas1__2[[#This Row],[Valor_Unitario]])</f>
        <v>510</v>
      </c>
      <c r="N513">
        <f>SUM(TabelaVendas1__2[[#This Row],[Valor_UnitarioXQtd]],TabelaVendas1__2[[#This Row],[Valor_Lucro]])</f>
        <v>714</v>
      </c>
      <c r="O513" s="2" t="s">
        <v>20</v>
      </c>
    </row>
    <row r="514" spans="1:15">
      <c r="A514" t="s">
        <v>298</v>
      </c>
      <c r="B514" t="s">
        <v>22</v>
      </c>
      <c r="C514" t="s">
        <v>33</v>
      </c>
      <c r="D514" t="s">
        <v>18</v>
      </c>
      <c r="E514" s="1">
        <v>46013</v>
      </c>
      <c r="F514" t="s">
        <v>27</v>
      </c>
      <c r="G514" t="str">
        <f ca="1">VLOOKUP(RAND(),{0,"Lucas";0.39,"Roberto";0.63,"Carla";0.78,"Pedro";0.93,"Emilly"},2,TRUE)</f>
        <v>Pedro</v>
      </c>
      <c r="H514">
        <v>1</v>
      </c>
      <c r="I514">
        <v>370</v>
      </c>
      <c r="J514">
        <v>0.4</v>
      </c>
      <c r="K514">
        <f>PRODUCT(TabelaVendas1__2[[#This Row],[Valor_UnitarioXQtd]],TabelaVendas1__2[[#This Row],[Percentual_Lucro]])</f>
        <v>148</v>
      </c>
      <c r="L514">
        <v>370</v>
      </c>
      <c r="M514">
        <f>PRODUCT(TabelaVendas1__2[[#This Row],[Quantidade]],TabelaVendas1__2[[#This Row],[Valor_Unitario]])</f>
        <v>370</v>
      </c>
      <c r="N514">
        <f>SUM(TabelaVendas1__2[[#This Row],[Valor_UnitarioXQtd]],TabelaVendas1__2[[#This Row],[Valor_Lucro]])</f>
        <v>518</v>
      </c>
      <c r="O514" s="2" t="s">
        <v>20</v>
      </c>
    </row>
    <row r="515" spans="1:15">
      <c r="A515" t="s">
        <v>158</v>
      </c>
      <c r="B515" t="s">
        <v>22</v>
      </c>
      <c r="C515" t="s">
        <v>23</v>
      </c>
      <c r="D515" t="s">
        <v>18</v>
      </c>
      <c r="E515" s="1">
        <v>46013</v>
      </c>
      <c r="F515" t="s">
        <v>30</v>
      </c>
      <c r="G515" t="str">
        <f ca="1">VLOOKUP(RAND(),{0,"Lucas";0.39,"Roberto";0.63,"Carla";0.78,"Pedro";0.93,"Emilly"},2,TRUE)</f>
        <v>Lucas</v>
      </c>
      <c r="H515">
        <v>1</v>
      </c>
      <c r="I515">
        <v>915</v>
      </c>
      <c r="J515">
        <v>0.4</v>
      </c>
      <c r="K515">
        <f>PRODUCT(TabelaVendas1__2[[#This Row],[Valor_UnitarioXQtd]],TabelaVendas1__2[[#This Row],[Percentual_Lucro]])</f>
        <v>366</v>
      </c>
      <c r="L515">
        <v>915</v>
      </c>
      <c r="M515">
        <f>PRODUCT(TabelaVendas1__2[[#This Row],[Quantidade]],TabelaVendas1__2[[#This Row],[Valor_Unitario]])</f>
        <v>915</v>
      </c>
      <c r="N515">
        <f>SUM(TabelaVendas1__2[[#This Row],[Valor_UnitarioXQtd]],TabelaVendas1__2[[#This Row],[Valor_Lucro]])</f>
        <v>1281</v>
      </c>
      <c r="O515" s="2" t="s">
        <v>20</v>
      </c>
    </row>
    <row r="516" spans="1:15">
      <c r="A516" t="s">
        <v>158</v>
      </c>
      <c r="B516" t="s">
        <v>51</v>
      </c>
      <c r="C516" t="s">
        <v>17</v>
      </c>
      <c r="D516" t="s">
        <v>18</v>
      </c>
      <c r="E516" s="1">
        <v>46013</v>
      </c>
      <c r="F516" t="s">
        <v>19</v>
      </c>
      <c r="G516" t="str">
        <f ca="1">VLOOKUP(RAND(),{0,"Lucas";0.39,"Roberto";0.63,"Carla";0.78,"Pedro";0.93,"Emilly"},2,TRUE)</f>
        <v>Lucas</v>
      </c>
      <c r="H516">
        <v>1</v>
      </c>
      <c r="I516">
        <v>1630</v>
      </c>
      <c r="J516">
        <v>0.4</v>
      </c>
      <c r="K516">
        <f>PRODUCT(TabelaVendas1__2[[#This Row],[Valor_UnitarioXQtd]],TabelaVendas1__2[[#This Row],[Percentual_Lucro]])</f>
        <v>652</v>
      </c>
      <c r="L516">
        <v>1630</v>
      </c>
      <c r="M516">
        <f>PRODUCT(TabelaVendas1__2[[#This Row],[Quantidade]],TabelaVendas1__2[[#This Row],[Valor_Unitario]])</f>
        <v>1630</v>
      </c>
      <c r="N516">
        <f>SUM(TabelaVendas1__2[[#This Row],[Valor_UnitarioXQtd]],TabelaVendas1__2[[#This Row],[Valor_Lucro]])</f>
        <v>2282</v>
      </c>
      <c r="O516" s="2" t="s">
        <v>20</v>
      </c>
    </row>
    <row r="517" spans="1:15">
      <c r="A517" t="s">
        <v>144</v>
      </c>
      <c r="B517" t="s">
        <v>51</v>
      </c>
      <c r="C517" t="s">
        <v>17</v>
      </c>
      <c r="D517" t="s">
        <v>126</v>
      </c>
      <c r="E517" s="1">
        <v>46013</v>
      </c>
      <c r="F517" t="s">
        <v>30</v>
      </c>
      <c r="G517" t="str">
        <f ca="1">VLOOKUP(RAND(),{0,"Lucas";0.39,"Roberto";0.63,"Carla";0.78,"Pedro";0.93,"Emilly"},2,TRUE)</f>
        <v>Lucas</v>
      </c>
      <c r="H517">
        <v>1</v>
      </c>
      <c r="I517">
        <v>1830</v>
      </c>
      <c r="J517">
        <v>0.4</v>
      </c>
      <c r="K517">
        <f>PRODUCT(TabelaVendas1__2[[#This Row],[Valor_UnitarioXQtd]],TabelaVendas1__2[[#This Row],[Percentual_Lucro]])</f>
        <v>732</v>
      </c>
      <c r="L517">
        <v>1830</v>
      </c>
      <c r="M517">
        <f>PRODUCT(TabelaVendas1__2[[#This Row],[Quantidade]],TabelaVendas1__2[[#This Row],[Valor_Unitario]])</f>
        <v>1830</v>
      </c>
      <c r="N517">
        <f>SUM(TabelaVendas1__2[[#This Row],[Valor_UnitarioXQtd]],TabelaVendas1__2[[#This Row],[Valor_Lucro]])</f>
        <v>2562</v>
      </c>
      <c r="O517" s="2" t="s">
        <v>127</v>
      </c>
    </row>
    <row r="518" spans="1:15">
      <c r="A518" t="s">
        <v>299</v>
      </c>
      <c r="B518" t="s">
        <v>22</v>
      </c>
      <c r="C518" t="s">
        <v>33</v>
      </c>
      <c r="D518" t="s">
        <v>29</v>
      </c>
      <c r="E518" s="1">
        <v>46013</v>
      </c>
      <c r="F518" t="s">
        <v>27</v>
      </c>
      <c r="G518" t="str">
        <f ca="1">VLOOKUP(RAND(),{0,"Lucas";0.39,"Roberto";0.63,"Carla";0.78,"Pedro";0.93,"Emilly"},2,TRUE)</f>
        <v>Emilly</v>
      </c>
      <c r="H518">
        <v>1</v>
      </c>
      <c r="I518">
        <v>515</v>
      </c>
      <c r="J518">
        <v>0.4</v>
      </c>
      <c r="K518">
        <f>PRODUCT(TabelaVendas1__2[[#This Row],[Valor_UnitarioXQtd]],TabelaVendas1__2[[#This Row],[Percentual_Lucro]])</f>
        <v>206</v>
      </c>
      <c r="L518">
        <v>515</v>
      </c>
      <c r="M518">
        <f>PRODUCT(TabelaVendas1__2[[#This Row],[Quantidade]],TabelaVendas1__2[[#This Row],[Valor_Unitario]])</f>
        <v>515</v>
      </c>
      <c r="N518">
        <f>SUM(TabelaVendas1__2[[#This Row],[Valor_UnitarioXQtd]],TabelaVendas1__2[[#This Row],[Valor_Lucro]])</f>
        <v>721</v>
      </c>
      <c r="O518" s="2" t="s">
        <v>31</v>
      </c>
    </row>
    <row r="519" spans="1:15">
      <c r="A519" t="s">
        <v>300</v>
      </c>
      <c r="B519" t="s">
        <v>22</v>
      </c>
      <c r="C519" t="s">
        <v>23</v>
      </c>
      <c r="D519" t="s">
        <v>42</v>
      </c>
      <c r="E519" s="1">
        <v>46051</v>
      </c>
      <c r="F519" t="s">
        <v>27</v>
      </c>
      <c r="G519" t="str">
        <f ca="1">VLOOKUP(RAND(),{0,"Lucas";0.39,"Roberto";0.63,"Carla";0.78,"Pedro";0.93,"Emilly"},2,TRUE)</f>
        <v>Lucas</v>
      </c>
      <c r="H519">
        <v>1</v>
      </c>
      <c r="I519">
        <v>4825</v>
      </c>
      <c r="J519">
        <v>0.4</v>
      </c>
      <c r="K519">
        <f>PRODUCT(TabelaVendas1__2[[#This Row],[Valor_UnitarioXQtd]],TabelaVendas1__2[[#This Row],[Percentual_Lucro]])</f>
        <v>1930</v>
      </c>
      <c r="L519">
        <v>4825</v>
      </c>
      <c r="M519">
        <f>PRODUCT(TabelaVendas1__2[[#This Row],[Quantidade]],TabelaVendas1__2[[#This Row],[Valor_Unitario]])</f>
        <v>4825</v>
      </c>
      <c r="N519">
        <f>SUM(TabelaVendas1__2[[#This Row],[Valor_UnitarioXQtd]],TabelaVendas1__2[[#This Row],[Valor_Lucro]])</f>
        <v>6755</v>
      </c>
      <c r="O519" s="2" t="s">
        <v>43</v>
      </c>
    </row>
    <row r="520" spans="1:15">
      <c r="A520" t="s">
        <v>91</v>
      </c>
      <c r="B520" t="s">
        <v>22</v>
      </c>
      <c r="C520" t="s">
        <v>23</v>
      </c>
      <c r="D520" t="s">
        <v>18</v>
      </c>
      <c r="E520" s="1">
        <v>46051</v>
      </c>
      <c r="F520" t="s">
        <v>30</v>
      </c>
      <c r="G520" t="str">
        <f ca="1">VLOOKUP(RAND(),{0,"Lucas";0.39,"Roberto";0.63,"Carla";0.78,"Pedro";0.93,"Emilly"},2,TRUE)</f>
        <v>Carla</v>
      </c>
      <c r="H520">
        <v>1</v>
      </c>
      <c r="I520">
        <v>7850</v>
      </c>
      <c r="J520">
        <v>0.4</v>
      </c>
      <c r="K520">
        <f>PRODUCT(TabelaVendas1__2[[#This Row],[Valor_UnitarioXQtd]],TabelaVendas1__2[[#This Row],[Percentual_Lucro]])</f>
        <v>3140</v>
      </c>
      <c r="L520">
        <v>7850</v>
      </c>
      <c r="M520">
        <f>PRODUCT(TabelaVendas1__2[[#This Row],[Quantidade]],TabelaVendas1__2[[#This Row],[Valor_Unitario]])</f>
        <v>7850</v>
      </c>
      <c r="N520">
        <f>SUM(TabelaVendas1__2[[#This Row],[Valor_UnitarioXQtd]],TabelaVendas1__2[[#This Row],[Valor_Lucro]])</f>
        <v>10990</v>
      </c>
      <c r="O520" s="2" t="s">
        <v>20</v>
      </c>
    </row>
    <row r="521" spans="1:15">
      <c r="A521" t="s">
        <v>301</v>
      </c>
      <c r="B521" t="s">
        <v>22</v>
      </c>
      <c r="C521" t="s">
        <v>23</v>
      </c>
      <c r="D521" t="s">
        <v>18</v>
      </c>
      <c r="E521" s="1">
        <v>46051</v>
      </c>
      <c r="F521" t="s">
        <v>27</v>
      </c>
      <c r="G521" t="str">
        <f ca="1">VLOOKUP(RAND(),{0,"Lucas";0.39,"Roberto";0.63,"Carla";0.78,"Pedro";0.93,"Emilly"},2,TRUE)</f>
        <v>Roberto</v>
      </c>
      <c r="H521">
        <v>1</v>
      </c>
      <c r="I521">
        <v>4050</v>
      </c>
      <c r="J521">
        <v>0.4</v>
      </c>
      <c r="K521">
        <f>PRODUCT(TabelaVendas1__2[[#This Row],[Valor_UnitarioXQtd]],TabelaVendas1__2[[#This Row],[Percentual_Lucro]])</f>
        <v>1620</v>
      </c>
      <c r="L521">
        <v>4050</v>
      </c>
      <c r="M521">
        <f>PRODUCT(TabelaVendas1__2[[#This Row],[Quantidade]],TabelaVendas1__2[[#This Row],[Valor_Unitario]])</f>
        <v>4050</v>
      </c>
      <c r="N521">
        <f>SUM(TabelaVendas1__2[[#This Row],[Valor_UnitarioXQtd]],TabelaVendas1__2[[#This Row],[Valor_Lucro]])</f>
        <v>5670</v>
      </c>
      <c r="O521" s="2" t="s">
        <v>20</v>
      </c>
    </row>
    <row r="522" spans="1:15">
      <c r="A522" t="s">
        <v>302</v>
      </c>
      <c r="B522" t="s">
        <v>22</v>
      </c>
      <c r="C522" t="s">
        <v>23</v>
      </c>
      <c r="D522" t="s">
        <v>18</v>
      </c>
      <c r="E522" s="1">
        <v>46051</v>
      </c>
      <c r="F522" t="s">
        <v>19</v>
      </c>
      <c r="G522" t="str">
        <f ca="1">VLOOKUP(RAND(),{0,"Lucas";0.39,"Roberto";0.63,"Carla";0.78,"Pedro";0.93,"Emilly"},2,TRUE)</f>
        <v>Lucas</v>
      </c>
      <c r="H522">
        <v>1</v>
      </c>
      <c r="I522">
        <v>2210</v>
      </c>
      <c r="J522">
        <v>0.4</v>
      </c>
      <c r="K522">
        <f>PRODUCT(TabelaVendas1__2[[#This Row],[Valor_UnitarioXQtd]],TabelaVendas1__2[[#This Row],[Percentual_Lucro]])</f>
        <v>884</v>
      </c>
      <c r="L522">
        <v>2210</v>
      </c>
      <c r="M522">
        <f>PRODUCT(TabelaVendas1__2[[#This Row],[Quantidade]],TabelaVendas1__2[[#This Row],[Valor_Unitario]])</f>
        <v>2210</v>
      </c>
      <c r="N522">
        <f>SUM(TabelaVendas1__2[[#This Row],[Valor_UnitarioXQtd]],TabelaVendas1__2[[#This Row],[Valor_Lucro]])</f>
        <v>3094</v>
      </c>
      <c r="O522" s="2" t="s">
        <v>20</v>
      </c>
    </row>
    <row r="523" spans="1:15">
      <c r="A523" t="s">
        <v>303</v>
      </c>
      <c r="B523" t="s">
        <v>16</v>
      </c>
      <c r="C523" t="s">
        <v>17</v>
      </c>
      <c r="D523" t="s">
        <v>97</v>
      </c>
      <c r="E523" s="1">
        <v>46079</v>
      </c>
      <c r="F523" t="s">
        <v>30</v>
      </c>
      <c r="G523" t="str">
        <f ca="1">VLOOKUP(RAND(),{0,"Lucas";0.39,"Roberto";0.63,"Carla";0.78,"Pedro";0.93,"Emilly"},2,TRUE)</f>
        <v>Emilly</v>
      </c>
      <c r="H523">
        <v>1</v>
      </c>
      <c r="I523">
        <v>1000</v>
      </c>
      <c r="J523">
        <v>0.4</v>
      </c>
      <c r="K523">
        <f>PRODUCT(TabelaVendas1__2[[#This Row],[Valor_UnitarioXQtd]],TabelaVendas1__2[[#This Row],[Percentual_Lucro]])</f>
        <v>400</v>
      </c>
      <c r="L523">
        <v>1000</v>
      </c>
      <c r="M523">
        <f>PRODUCT(TabelaVendas1__2[[#This Row],[Quantidade]],TabelaVendas1__2[[#This Row],[Valor_Unitario]])</f>
        <v>1000</v>
      </c>
      <c r="N523">
        <f>SUM(TabelaVendas1__2[[#This Row],[Valor_UnitarioXQtd]],TabelaVendas1__2[[#This Row],[Valor_Lucro]])</f>
        <v>1400</v>
      </c>
      <c r="O523" s="2" t="s">
        <v>98</v>
      </c>
    </row>
    <row r="524" spans="1:15">
      <c r="A524" t="s">
        <v>304</v>
      </c>
      <c r="B524" t="s">
        <v>22</v>
      </c>
      <c r="C524" t="s">
        <v>23</v>
      </c>
      <c r="D524" t="s">
        <v>97</v>
      </c>
      <c r="E524" s="1">
        <v>46079</v>
      </c>
      <c r="F524" t="s">
        <v>27</v>
      </c>
      <c r="G524" t="str">
        <f ca="1">VLOOKUP(RAND(),{0,"Lucas";0.39,"Roberto";0.63,"Carla";0.78,"Pedro";0.93,"Emilly"},2,TRUE)</f>
        <v>Roberto</v>
      </c>
      <c r="H524">
        <v>1</v>
      </c>
      <c r="I524">
        <v>320</v>
      </c>
      <c r="J524">
        <v>0.4</v>
      </c>
      <c r="K524">
        <f>PRODUCT(TabelaVendas1__2[[#This Row],[Valor_UnitarioXQtd]],TabelaVendas1__2[[#This Row],[Percentual_Lucro]])</f>
        <v>128</v>
      </c>
      <c r="L524">
        <v>320</v>
      </c>
      <c r="M524">
        <f>PRODUCT(TabelaVendas1__2[[#This Row],[Quantidade]],TabelaVendas1__2[[#This Row],[Valor_Unitario]])</f>
        <v>320</v>
      </c>
      <c r="N524">
        <f>SUM(TabelaVendas1__2[[#This Row],[Valor_UnitarioXQtd]],TabelaVendas1__2[[#This Row],[Valor_Lucro]])</f>
        <v>448</v>
      </c>
      <c r="O524" s="2" t="s">
        <v>98</v>
      </c>
    </row>
    <row r="525" spans="1:15">
      <c r="A525" t="s">
        <v>113</v>
      </c>
      <c r="B525" t="s">
        <v>22</v>
      </c>
      <c r="C525" t="s">
        <v>23</v>
      </c>
      <c r="D525" t="s">
        <v>18</v>
      </c>
      <c r="E525" s="1">
        <v>46079</v>
      </c>
      <c r="F525" t="s">
        <v>19</v>
      </c>
      <c r="G525" t="str">
        <f ca="1">VLOOKUP(RAND(),{0,"Lucas";0.39,"Roberto";0.63,"Carla";0.78,"Pedro";0.93,"Emilly"},2,TRUE)</f>
        <v>Carla</v>
      </c>
      <c r="H525">
        <v>1</v>
      </c>
      <c r="I525">
        <v>920</v>
      </c>
      <c r="J525">
        <v>0.4</v>
      </c>
      <c r="K525">
        <f>PRODUCT(TabelaVendas1__2[[#This Row],[Valor_UnitarioXQtd]],TabelaVendas1__2[[#This Row],[Percentual_Lucro]])</f>
        <v>368</v>
      </c>
      <c r="L525">
        <v>920</v>
      </c>
      <c r="M525">
        <f>PRODUCT(TabelaVendas1__2[[#This Row],[Quantidade]],TabelaVendas1__2[[#This Row],[Valor_Unitario]])</f>
        <v>920</v>
      </c>
      <c r="N525">
        <f>SUM(TabelaVendas1__2[[#This Row],[Valor_UnitarioXQtd]],TabelaVendas1__2[[#This Row],[Valor_Lucro]])</f>
        <v>1288</v>
      </c>
      <c r="O525" s="2" t="s">
        <v>20</v>
      </c>
    </row>
    <row r="526" spans="1:15">
      <c r="A526" t="s">
        <v>145</v>
      </c>
      <c r="B526" t="s">
        <v>22</v>
      </c>
      <c r="C526" t="s">
        <v>23</v>
      </c>
      <c r="D526" t="s">
        <v>146</v>
      </c>
      <c r="E526" s="1">
        <v>46079</v>
      </c>
      <c r="F526" t="s">
        <v>27</v>
      </c>
      <c r="G526" t="str">
        <f ca="1">VLOOKUP(RAND(),{0,"Lucas";0.39,"Roberto";0.63,"Carla";0.78,"Pedro";0.93,"Emilly"},2,TRUE)</f>
        <v>Lucas</v>
      </c>
      <c r="H526">
        <v>1</v>
      </c>
      <c r="I526">
        <v>4300</v>
      </c>
      <c r="J526">
        <v>0.4</v>
      </c>
      <c r="K526">
        <f>PRODUCT(TabelaVendas1__2[[#This Row],[Valor_UnitarioXQtd]],TabelaVendas1__2[[#This Row],[Percentual_Lucro]])</f>
        <v>1720</v>
      </c>
      <c r="L526">
        <v>4300</v>
      </c>
      <c r="M526">
        <f>PRODUCT(TabelaVendas1__2[[#This Row],[Quantidade]],TabelaVendas1__2[[#This Row],[Valor_Unitario]])</f>
        <v>4300</v>
      </c>
      <c r="N526">
        <f>SUM(TabelaVendas1__2[[#This Row],[Valor_UnitarioXQtd]],TabelaVendas1__2[[#This Row],[Valor_Lucro]])</f>
        <v>6020</v>
      </c>
      <c r="O526" s="2" t="s">
        <v>147</v>
      </c>
    </row>
    <row r="527" spans="1:15">
      <c r="A527" t="s">
        <v>239</v>
      </c>
      <c r="B527" t="s">
        <v>51</v>
      </c>
      <c r="C527" t="s">
        <v>17</v>
      </c>
      <c r="D527" t="s">
        <v>54</v>
      </c>
      <c r="E527" s="1">
        <v>46079</v>
      </c>
      <c r="F527" t="s">
        <v>27</v>
      </c>
      <c r="G527" t="str">
        <f ca="1">VLOOKUP(RAND(),{0,"Lucas";0.39,"Roberto";0.63,"Carla";0.78,"Pedro";0.93,"Emilly"},2,TRUE)</f>
        <v>Carla</v>
      </c>
      <c r="H527">
        <v>1</v>
      </c>
      <c r="I527">
        <v>8200</v>
      </c>
      <c r="J527">
        <v>0.4</v>
      </c>
      <c r="K527">
        <f>PRODUCT(TabelaVendas1__2[[#This Row],[Valor_UnitarioXQtd]],TabelaVendas1__2[[#This Row],[Percentual_Lucro]])</f>
        <v>3280</v>
      </c>
      <c r="L527">
        <v>8200</v>
      </c>
      <c r="M527">
        <f>PRODUCT(TabelaVendas1__2[[#This Row],[Quantidade]],TabelaVendas1__2[[#This Row],[Valor_Unitario]])</f>
        <v>8200</v>
      </c>
      <c r="N527">
        <f>SUM(TabelaVendas1__2[[#This Row],[Valor_UnitarioXQtd]],TabelaVendas1__2[[#This Row],[Valor_Lucro]])</f>
        <v>11480</v>
      </c>
      <c r="O527" s="2" t="s">
        <v>55</v>
      </c>
    </row>
    <row r="528" spans="1:15">
      <c r="A528" t="s">
        <v>240</v>
      </c>
      <c r="B528" t="s">
        <v>22</v>
      </c>
      <c r="C528" t="s">
        <v>23</v>
      </c>
      <c r="D528" t="s">
        <v>75</v>
      </c>
      <c r="E528" s="1">
        <v>46079</v>
      </c>
      <c r="F528" t="s">
        <v>30</v>
      </c>
      <c r="G528" t="str">
        <f ca="1">VLOOKUP(RAND(),{0,"Lucas";0.39,"Roberto";0.63,"Carla";0.78,"Pedro";0.93,"Emilly"},2,TRUE)</f>
        <v>Carla</v>
      </c>
      <c r="H528">
        <v>1</v>
      </c>
      <c r="I528">
        <v>5600</v>
      </c>
      <c r="J528">
        <v>0.4</v>
      </c>
      <c r="K528">
        <f>PRODUCT(TabelaVendas1__2[[#This Row],[Valor_UnitarioXQtd]],TabelaVendas1__2[[#This Row],[Percentual_Lucro]])</f>
        <v>2240</v>
      </c>
      <c r="L528">
        <v>5600</v>
      </c>
      <c r="M528">
        <f>PRODUCT(TabelaVendas1__2[[#This Row],[Quantidade]],TabelaVendas1__2[[#This Row],[Valor_Unitario]])</f>
        <v>5600</v>
      </c>
      <c r="N528">
        <f>SUM(TabelaVendas1__2[[#This Row],[Valor_UnitarioXQtd]],TabelaVendas1__2[[#This Row],[Valor_Lucro]])</f>
        <v>7840</v>
      </c>
      <c r="O528" s="2" t="s">
        <v>76</v>
      </c>
    </row>
    <row r="529" spans="1:15">
      <c r="A529" t="s">
        <v>91</v>
      </c>
      <c r="B529" t="s">
        <v>22</v>
      </c>
      <c r="C529" t="s">
        <v>23</v>
      </c>
      <c r="D529" t="s">
        <v>18</v>
      </c>
      <c r="E529" s="1">
        <v>46105</v>
      </c>
      <c r="F529" t="s">
        <v>27</v>
      </c>
      <c r="G529" t="str">
        <f ca="1">VLOOKUP(RAND(),{0,"Lucas";0.39,"Roberto";0.63,"Carla";0.78,"Pedro";0.93,"Emilly"},2,TRUE)</f>
        <v>Roberto</v>
      </c>
      <c r="H529">
        <v>1</v>
      </c>
      <c r="I529">
        <v>4850</v>
      </c>
      <c r="J529">
        <v>0.4</v>
      </c>
      <c r="K529">
        <f>PRODUCT(TabelaVendas1__2[[#This Row],[Valor_UnitarioXQtd]],TabelaVendas1__2[[#This Row],[Percentual_Lucro]])</f>
        <v>1940</v>
      </c>
      <c r="L529">
        <v>4850</v>
      </c>
      <c r="M529">
        <f>PRODUCT(TabelaVendas1__2[[#This Row],[Quantidade]],TabelaVendas1__2[[#This Row],[Valor_Unitario]])</f>
        <v>4850</v>
      </c>
      <c r="N529">
        <f>SUM(TabelaVendas1__2[[#This Row],[Valor_UnitarioXQtd]],TabelaVendas1__2[[#This Row],[Valor_Lucro]])</f>
        <v>6790</v>
      </c>
      <c r="O529" s="2" t="s">
        <v>20</v>
      </c>
    </row>
    <row r="530" spans="1:15">
      <c r="A530" t="s">
        <v>64</v>
      </c>
      <c r="B530" t="s">
        <v>22</v>
      </c>
      <c r="C530" t="s">
        <v>23</v>
      </c>
      <c r="D530" t="s">
        <v>18</v>
      </c>
      <c r="E530" s="1">
        <v>46105</v>
      </c>
      <c r="F530" t="s">
        <v>27</v>
      </c>
      <c r="G530" t="str">
        <f ca="1">VLOOKUP(RAND(),{0,"Lucas";0.39,"Roberto";0.63,"Carla";0.78,"Pedro";0.93,"Emilly"},2,TRUE)</f>
        <v>Pedro</v>
      </c>
      <c r="H530">
        <v>1</v>
      </c>
      <c r="I530">
        <v>6150</v>
      </c>
      <c r="J530">
        <v>0.4</v>
      </c>
      <c r="K530">
        <f>PRODUCT(TabelaVendas1__2[[#This Row],[Valor_UnitarioXQtd]],TabelaVendas1__2[[#This Row],[Percentual_Lucro]])</f>
        <v>2460</v>
      </c>
      <c r="L530">
        <v>6150</v>
      </c>
      <c r="M530">
        <f>PRODUCT(TabelaVendas1__2[[#This Row],[Quantidade]],TabelaVendas1__2[[#This Row],[Valor_Unitario]])</f>
        <v>6150</v>
      </c>
      <c r="N530">
        <f>SUM(TabelaVendas1__2[[#This Row],[Valor_UnitarioXQtd]],TabelaVendas1__2[[#This Row],[Valor_Lucro]])</f>
        <v>8610</v>
      </c>
      <c r="O530" s="2" t="s">
        <v>20</v>
      </c>
    </row>
    <row r="531" spans="1:15">
      <c r="A531" t="s">
        <v>144</v>
      </c>
      <c r="B531" t="s">
        <v>22</v>
      </c>
      <c r="C531" t="s">
        <v>23</v>
      </c>
      <c r="D531" t="s">
        <v>126</v>
      </c>
      <c r="E531" s="1">
        <v>46105</v>
      </c>
      <c r="F531" t="s">
        <v>27</v>
      </c>
      <c r="G531" t="str">
        <f ca="1">VLOOKUP(RAND(),{0,"Lucas";0.39,"Roberto";0.63,"Carla";0.78,"Pedro";0.93,"Emilly"},2,TRUE)</f>
        <v>Lucas</v>
      </c>
      <c r="H531">
        <v>1</v>
      </c>
      <c r="I531">
        <v>2050</v>
      </c>
      <c r="J531">
        <v>0.4</v>
      </c>
      <c r="K531">
        <f>PRODUCT(TabelaVendas1__2[[#This Row],[Valor_UnitarioXQtd]],TabelaVendas1__2[[#This Row],[Percentual_Lucro]])</f>
        <v>820</v>
      </c>
      <c r="L531">
        <v>2050</v>
      </c>
      <c r="M531">
        <f>PRODUCT(TabelaVendas1__2[[#This Row],[Quantidade]],TabelaVendas1__2[[#This Row],[Valor_Unitario]])</f>
        <v>2050</v>
      </c>
      <c r="N531">
        <f>SUM(TabelaVendas1__2[[#This Row],[Valor_UnitarioXQtd]],TabelaVendas1__2[[#This Row],[Valor_Lucro]])</f>
        <v>2870</v>
      </c>
      <c r="O531" s="2" t="s">
        <v>127</v>
      </c>
    </row>
    <row r="532" spans="1:15">
      <c r="A532" t="s">
        <v>305</v>
      </c>
      <c r="B532" t="s">
        <v>22</v>
      </c>
      <c r="C532" t="s">
        <v>23</v>
      </c>
      <c r="D532" t="s">
        <v>54</v>
      </c>
      <c r="E532" s="1">
        <v>46105</v>
      </c>
      <c r="F532" t="s">
        <v>30</v>
      </c>
      <c r="G532" t="str">
        <f ca="1">VLOOKUP(RAND(),{0,"Lucas";0.39,"Roberto";0.63,"Carla";0.78,"Pedro";0.93,"Emilly"},2,TRUE)</f>
        <v>Lucas</v>
      </c>
      <c r="H532">
        <v>1</v>
      </c>
      <c r="I532">
        <v>2250</v>
      </c>
      <c r="J532">
        <v>0.4</v>
      </c>
      <c r="K532">
        <f>PRODUCT(TabelaVendas1__2[[#This Row],[Valor_UnitarioXQtd]],TabelaVendas1__2[[#This Row],[Percentual_Lucro]])</f>
        <v>900</v>
      </c>
      <c r="L532">
        <v>2250</v>
      </c>
      <c r="M532">
        <f>PRODUCT(TabelaVendas1__2[[#This Row],[Quantidade]],TabelaVendas1__2[[#This Row],[Valor_Unitario]])</f>
        <v>2250</v>
      </c>
      <c r="N532">
        <f>SUM(TabelaVendas1__2[[#This Row],[Valor_UnitarioXQtd]],TabelaVendas1__2[[#This Row],[Valor_Lucro]])</f>
        <v>3150</v>
      </c>
      <c r="O532" s="2" t="s">
        <v>55</v>
      </c>
    </row>
    <row r="533" spans="1:15">
      <c r="A533" t="s">
        <v>306</v>
      </c>
      <c r="B533" t="s">
        <v>22</v>
      </c>
      <c r="C533" t="s">
        <v>23</v>
      </c>
      <c r="D533" t="s">
        <v>34</v>
      </c>
      <c r="E533" s="1">
        <v>46105</v>
      </c>
      <c r="F533" t="s">
        <v>27</v>
      </c>
      <c r="G533" t="str">
        <f ca="1">VLOOKUP(RAND(),{0,"Lucas";0.39,"Roberto";0.63,"Carla";0.78,"Pedro";0.93,"Emilly"},2,TRUE)</f>
        <v>Lucas</v>
      </c>
      <c r="H533">
        <v>1</v>
      </c>
      <c r="I533">
        <v>3100</v>
      </c>
      <c r="J533">
        <v>0.4</v>
      </c>
      <c r="K533">
        <f>PRODUCT(TabelaVendas1__2[[#This Row],[Valor_UnitarioXQtd]],TabelaVendas1__2[[#This Row],[Percentual_Lucro]])</f>
        <v>1240</v>
      </c>
      <c r="L533">
        <v>3100</v>
      </c>
      <c r="M533">
        <f>PRODUCT(TabelaVendas1__2[[#This Row],[Quantidade]],TabelaVendas1__2[[#This Row],[Valor_Unitario]])</f>
        <v>3100</v>
      </c>
      <c r="N533">
        <f>SUM(TabelaVendas1__2[[#This Row],[Valor_UnitarioXQtd]],TabelaVendas1__2[[#This Row],[Valor_Lucro]])</f>
        <v>4340</v>
      </c>
      <c r="O533" s="2" t="s">
        <v>35</v>
      </c>
    </row>
    <row r="534" spans="1:15">
      <c r="A534" t="s">
        <v>91</v>
      </c>
      <c r="B534" t="s">
        <v>22</v>
      </c>
      <c r="C534" t="s">
        <v>23</v>
      </c>
      <c r="D534" t="s">
        <v>18</v>
      </c>
      <c r="E534" s="1">
        <v>46137</v>
      </c>
      <c r="F534" t="s">
        <v>19</v>
      </c>
      <c r="G534" t="str">
        <f ca="1">VLOOKUP(RAND(),{0,"Lucas";0.39,"Roberto";0.63,"Carla";0.78,"Pedro";0.93,"Emilly"},2,TRUE)</f>
        <v>Pedro</v>
      </c>
      <c r="H534">
        <v>1</v>
      </c>
      <c r="I534">
        <v>4100</v>
      </c>
      <c r="J534">
        <v>0.4</v>
      </c>
      <c r="K534">
        <f>PRODUCT(TabelaVendas1__2[[#This Row],[Valor_UnitarioXQtd]],TabelaVendas1__2[[#This Row],[Percentual_Lucro]])</f>
        <v>1640</v>
      </c>
      <c r="L534">
        <v>4100</v>
      </c>
      <c r="M534">
        <f>PRODUCT(TabelaVendas1__2[[#This Row],[Quantidade]],TabelaVendas1__2[[#This Row],[Valor_Unitario]])</f>
        <v>4100</v>
      </c>
      <c r="N534">
        <f>SUM(TabelaVendas1__2[[#This Row],[Valor_UnitarioXQtd]],TabelaVendas1__2[[#This Row],[Valor_Lucro]])</f>
        <v>5740</v>
      </c>
      <c r="O534" s="2" t="s">
        <v>20</v>
      </c>
    </row>
    <row r="535" spans="1:15">
      <c r="A535" t="s">
        <v>307</v>
      </c>
      <c r="B535" t="s">
        <v>22</v>
      </c>
      <c r="C535" t="s">
        <v>23</v>
      </c>
      <c r="D535" t="s">
        <v>18</v>
      </c>
      <c r="E535" s="1">
        <v>46137</v>
      </c>
      <c r="F535" t="s">
        <v>19</v>
      </c>
      <c r="G535" t="str">
        <f ca="1">VLOOKUP(RAND(),{0,"Lucas";0.39,"Roberto";0.63,"Carla";0.78,"Pedro";0.93,"Emilly"},2,TRUE)</f>
        <v>Lucas</v>
      </c>
      <c r="H535">
        <v>1</v>
      </c>
      <c r="I535">
        <v>2450</v>
      </c>
      <c r="J535">
        <v>0.4</v>
      </c>
      <c r="K535">
        <f>PRODUCT(TabelaVendas1__2[[#This Row],[Valor_UnitarioXQtd]],TabelaVendas1__2[[#This Row],[Percentual_Lucro]])</f>
        <v>980</v>
      </c>
      <c r="L535">
        <v>2450</v>
      </c>
      <c r="M535">
        <f>PRODUCT(TabelaVendas1__2[[#This Row],[Quantidade]],TabelaVendas1__2[[#This Row],[Valor_Unitario]])</f>
        <v>2450</v>
      </c>
      <c r="N535">
        <f>SUM(TabelaVendas1__2[[#This Row],[Valor_UnitarioXQtd]],TabelaVendas1__2[[#This Row],[Valor_Lucro]])</f>
        <v>3430</v>
      </c>
      <c r="O535" s="2" t="s">
        <v>20</v>
      </c>
    </row>
    <row r="536" spans="1:15">
      <c r="A536" t="s">
        <v>302</v>
      </c>
      <c r="B536" t="s">
        <v>22</v>
      </c>
      <c r="C536" t="s">
        <v>23</v>
      </c>
      <c r="D536" t="s">
        <v>18</v>
      </c>
      <c r="E536" s="1">
        <v>46137</v>
      </c>
      <c r="F536" t="s">
        <v>30</v>
      </c>
      <c r="G536" t="str">
        <f ca="1">VLOOKUP(RAND(),{0,"Lucas";0.39,"Roberto";0.63,"Carla";0.78,"Pedro";0.93,"Emilly"},2,TRUE)</f>
        <v>Pedro</v>
      </c>
      <c r="H536">
        <v>1</v>
      </c>
      <c r="I536">
        <v>2040</v>
      </c>
      <c r="J536">
        <v>0.4</v>
      </c>
      <c r="K536">
        <f>PRODUCT(TabelaVendas1__2[[#This Row],[Valor_UnitarioXQtd]],TabelaVendas1__2[[#This Row],[Percentual_Lucro]])</f>
        <v>816</v>
      </c>
      <c r="L536">
        <v>2040</v>
      </c>
      <c r="M536">
        <f>PRODUCT(TabelaVendas1__2[[#This Row],[Quantidade]],TabelaVendas1__2[[#This Row],[Valor_Unitario]])</f>
        <v>2040</v>
      </c>
      <c r="N536">
        <f>SUM(TabelaVendas1__2[[#This Row],[Valor_UnitarioXQtd]],TabelaVendas1__2[[#This Row],[Valor_Lucro]])</f>
        <v>2856</v>
      </c>
      <c r="O536" s="2" t="s">
        <v>20</v>
      </c>
    </row>
    <row r="537" spans="1:15">
      <c r="A537" t="s">
        <v>144</v>
      </c>
      <c r="B537" t="s">
        <v>22</v>
      </c>
      <c r="C537" t="s">
        <v>23</v>
      </c>
      <c r="D537" t="s">
        <v>126</v>
      </c>
      <c r="E537" s="1">
        <v>46137</v>
      </c>
      <c r="F537" t="s">
        <v>19</v>
      </c>
      <c r="G537" t="str">
        <f ca="1">VLOOKUP(RAND(),{0,"Lucas";0.39,"Roberto";0.63,"Carla";0.78,"Pedro";0.93,"Emilly"},2,TRUE)</f>
        <v>Emilly</v>
      </c>
      <c r="H537">
        <v>1</v>
      </c>
      <c r="I537">
        <v>2060</v>
      </c>
      <c r="J537">
        <v>0.4</v>
      </c>
      <c r="K537">
        <f>PRODUCT(TabelaVendas1__2[[#This Row],[Valor_UnitarioXQtd]],TabelaVendas1__2[[#This Row],[Percentual_Lucro]])</f>
        <v>824</v>
      </c>
      <c r="L537">
        <v>2060</v>
      </c>
      <c r="M537">
        <f>PRODUCT(TabelaVendas1__2[[#This Row],[Quantidade]],TabelaVendas1__2[[#This Row],[Valor_Unitario]])</f>
        <v>2060</v>
      </c>
      <c r="N537">
        <f>SUM(TabelaVendas1__2[[#This Row],[Valor_UnitarioXQtd]],TabelaVendas1__2[[#This Row],[Valor_Lucro]])</f>
        <v>2884</v>
      </c>
      <c r="O537" s="2" t="s">
        <v>127</v>
      </c>
    </row>
    <row r="538" spans="1:15">
      <c r="A538" t="s">
        <v>144</v>
      </c>
      <c r="B538" t="s">
        <v>22</v>
      </c>
      <c r="C538" t="s">
        <v>23</v>
      </c>
      <c r="D538" t="s">
        <v>54</v>
      </c>
      <c r="E538" s="1">
        <v>46137</v>
      </c>
      <c r="F538" t="s">
        <v>27</v>
      </c>
      <c r="G538" t="str">
        <f ca="1">VLOOKUP(RAND(),{0,"Lucas";0.39,"Roberto";0.63,"Carla";0.78,"Pedro";0.93,"Emilly"},2,TRUE)</f>
        <v>Lucas</v>
      </c>
      <c r="H538">
        <v>1</v>
      </c>
      <c r="I538">
        <v>5100</v>
      </c>
      <c r="J538">
        <v>0.4</v>
      </c>
      <c r="K538">
        <f>PRODUCT(TabelaVendas1__2[[#This Row],[Valor_UnitarioXQtd]],TabelaVendas1__2[[#This Row],[Percentual_Lucro]])</f>
        <v>2040</v>
      </c>
      <c r="L538">
        <v>5100</v>
      </c>
      <c r="M538">
        <f>PRODUCT(TabelaVendas1__2[[#This Row],[Quantidade]],TabelaVendas1__2[[#This Row],[Valor_Unitario]])</f>
        <v>5100</v>
      </c>
      <c r="N538">
        <f>SUM(TabelaVendas1__2[[#This Row],[Valor_UnitarioXQtd]],TabelaVendas1__2[[#This Row],[Valor_Lucro]])</f>
        <v>7140</v>
      </c>
      <c r="O538" s="2" t="s">
        <v>55</v>
      </c>
    </row>
    <row r="539" spans="1:15">
      <c r="A539" t="s">
        <v>308</v>
      </c>
      <c r="B539" t="s">
        <v>51</v>
      </c>
      <c r="C539" t="s">
        <v>17</v>
      </c>
      <c r="D539" t="s">
        <v>54</v>
      </c>
      <c r="E539" s="1">
        <v>46137</v>
      </c>
      <c r="F539" t="s">
        <v>19</v>
      </c>
      <c r="G539" t="str">
        <f ca="1">VLOOKUP(RAND(),{0,"Lucas";0.39,"Roberto";0.63,"Carla";0.78,"Pedro";0.93,"Emilly"},2,TRUE)</f>
        <v>Carla</v>
      </c>
      <c r="H539">
        <v>1</v>
      </c>
      <c r="I539">
        <v>5100</v>
      </c>
      <c r="J539">
        <v>0.4</v>
      </c>
      <c r="K539">
        <f>PRODUCT(TabelaVendas1__2[[#This Row],[Valor_UnitarioXQtd]],TabelaVendas1__2[[#This Row],[Percentual_Lucro]])</f>
        <v>2040</v>
      </c>
      <c r="L539">
        <v>5100</v>
      </c>
      <c r="M539">
        <f>PRODUCT(TabelaVendas1__2[[#This Row],[Quantidade]],TabelaVendas1__2[[#This Row],[Valor_Unitario]])</f>
        <v>5100</v>
      </c>
      <c r="N539">
        <f>SUM(TabelaVendas1__2[[#This Row],[Valor_UnitarioXQtd]],TabelaVendas1__2[[#This Row],[Valor_Lucro]])</f>
        <v>7140</v>
      </c>
      <c r="O539" s="2" t="s">
        <v>55</v>
      </c>
    </row>
    <row r="540" spans="1:15">
      <c r="A540" t="s">
        <v>41</v>
      </c>
      <c r="B540" t="s">
        <v>22</v>
      </c>
      <c r="C540" t="s">
        <v>23</v>
      </c>
      <c r="D540" t="s">
        <v>42</v>
      </c>
      <c r="E540" s="1">
        <v>46170</v>
      </c>
      <c r="F540" t="s">
        <v>19</v>
      </c>
      <c r="G540" t="str">
        <f ca="1">VLOOKUP(RAND(),{0,"Lucas";0.39,"Roberto";0.63,"Carla";0.78,"Pedro";0.93,"Emilly"},2,TRUE)</f>
        <v>Emilly</v>
      </c>
      <c r="H540">
        <v>1</v>
      </c>
      <c r="I540">
        <v>2050</v>
      </c>
      <c r="J540">
        <v>0.4</v>
      </c>
      <c r="K540">
        <f>PRODUCT(TabelaVendas1__2[[#This Row],[Valor_UnitarioXQtd]],TabelaVendas1__2[[#This Row],[Percentual_Lucro]])</f>
        <v>820</v>
      </c>
      <c r="L540">
        <v>2050</v>
      </c>
      <c r="M540">
        <f>PRODUCT(TabelaVendas1__2[[#This Row],[Quantidade]],TabelaVendas1__2[[#This Row],[Valor_Unitario]])</f>
        <v>2050</v>
      </c>
      <c r="N540">
        <f>SUM(TabelaVendas1__2[[#This Row],[Valor_UnitarioXQtd]],TabelaVendas1__2[[#This Row],[Valor_Lucro]])</f>
        <v>2870</v>
      </c>
      <c r="O540" s="2" t="s">
        <v>43</v>
      </c>
    </row>
    <row r="541" spans="1:15">
      <c r="A541" t="s">
        <v>309</v>
      </c>
      <c r="B541" t="s">
        <v>22</v>
      </c>
      <c r="C541" t="s">
        <v>23</v>
      </c>
      <c r="D541" t="s">
        <v>42</v>
      </c>
      <c r="E541" s="1">
        <v>46170</v>
      </c>
      <c r="F541" t="s">
        <v>27</v>
      </c>
      <c r="G541" t="str">
        <f ca="1">VLOOKUP(RAND(),{0,"Lucas";0.39,"Roberto";0.63,"Carla";0.78,"Pedro";0.93,"Emilly"},2,TRUE)</f>
        <v>Lucas</v>
      </c>
      <c r="H541">
        <v>1</v>
      </c>
      <c r="I541">
        <v>1850</v>
      </c>
      <c r="J541">
        <v>0.4</v>
      </c>
      <c r="K541">
        <f>PRODUCT(TabelaVendas1__2[[#This Row],[Valor_UnitarioXQtd]],TabelaVendas1__2[[#This Row],[Percentual_Lucro]])</f>
        <v>740</v>
      </c>
      <c r="L541">
        <v>1850</v>
      </c>
      <c r="M541">
        <f>PRODUCT(TabelaVendas1__2[[#This Row],[Quantidade]],TabelaVendas1__2[[#This Row],[Valor_Unitario]])</f>
        <v>1850</v>
      </c>
      <c r="N541">
        <f>SUM(TabelaVendas1__2[[#This Row],[Valor_UnitarioXQtd]],TabelaVendas1__2[[#This Row],[Valor_Lucro]])</f>
        <v>2590</v>
      </c>
      <c r="O541" s="2" t="s">
        <v>43</v>
      </c>
    </row>
    <row r="542" spans="1:15">
      <c r="A542" t="s">
        <v>310</v>
      </c>
      <c r="B542" t="s">
        <v>22</v>
      </c>
      <c r="C542" t="s">
        <v>23</v>
      </c>
      <c r="D542" t="s">
        <v>42</v>
      </c>
      <c r="E542" s="1">
        <v>46170</v>
      </c>
      <c r="F542" t="s">
        <v>30</v>
      </c>
      <c r="G542" t="str">
        <f ca="1">VLOOKUP(RAND(),{0,"Lucas";0.39,"Roberto";0.63,"Carla";0.78,"Pedro";0.93,"Emilly"},2,TRUE)</f>
        <v>Carla</v>
      </c>
      <c r="H542">
        <v>1</v>
      </c>
      <c r="I542">
        <v>5200</v>
      </c>
      <c r="J542">
        <v>0.4</v>
      </c>
      <c r="K542">
        <f>PRODUCT(TabelaVendas1__2[[#This Row],[Valor_UnitarioXQtd]],TabelaVendas1__2[[#This Row],[Percentual_Lucro]])</f>
        <v>2080</v>
      </c>
      <c r="L542">
        <v>5200</v>
      </c>
      <c r="M542">
        <f>PRODUCT(TabelaVendas1__2[[#This Row],[Quantidade]],TabelaVendas1__2[[#This Row],[Valor_Unitario]])</f>
        <v>5200</v>
      </c>
      <c r="N542">
        <f>SUM(TabelaVendas1__2[[#This Row],[Valor_UnitarioXQtd]],TabelaVendas1__2[[#This Row],[Valor_Lucro]])</f>
        <v>7280</v>
      </c>
      <c r="O542" s="2" t="s">
        <v>43</v>
      </c>
    </row>
    <row r="543" spans="1:15">
      <c r="A543" t="s">
        <v>120</v>
      </c>
      <c r="B543" t="s">
        <v>22</v>
      </c>
      <c r="C543" t="s">
        <v>23</v>
      </c>
      <c r="D543" t="s">
        <v>121</v>
      </c>
      <c r="E543" s="1">
        <v>46170</v>
      </c>
      <c r="F543" t="s">
        <v>19</v>
      </c>
      <c r="G543" t="str">
        <f ca="1">VLOOKUP(RAND(),{0,"Lucas";0.39,"Roberto";0.63,"Carla";0.78,"Pedro";0.93,"Emilly"},2,TRUE)</f>
        <v>Lucas</v>
      </c>
      <c r="H543">
        <v>1</v>
      </c>
      <c r="I543">
        <v>1520</v>
      </c>
      <c r="J543">
        <v>0.4</v>
      </c>
      <c r="K543">
        <f>PRODUCT(TabelaVendas1__2[[#This Row],[Valor_UnitarioXQtd]],TabelaVendas1__2[[#This Row],[Percentual_Lucro]])</f>
        <v>608</v>
      </c>
      <c r="L543">
        <v>1520</v>
      </c>
      <c r="M543">
        <f>PRODUCT(TabelaVendas1__2[[#This Row],[Quantidade]],TabelaVendas1__2[[#This Row],[Valor_Unitario]])</f>
        <v>1520</v>
      </c>
      <c r="N543">
        <f>SUM(TabelaVendas1__2[[#This Row],[Valor_UnitarioXQtd]],TabelaVendas1__2[[#This Row],[Valor_Lucro]])</f>
        <v>2128</v>
      </c>
      <c r="O543" s="2" t="s">
        <v>122</v>
      </c>
    </row>
    <row r="544" spans="1:15">
      <c r="A544" t="s">
        <v>311</v>
      </c>
      <c r="B544" t="s">
        <v>22</v>
      </c>
      <c r="C544" t="s">
        <v>23</v>
      </c>
      <c r="D544" t="s">
        <v>24</v>
      </c>
      <c r="E544" s="1">
        <v>46170</v>
      </c>
      <c r="F544" t="s">
        <v>19</v>
      </c>
      <c r="G544" t="str">
        <f ca="1">VLOOKUP(RAND(),{0,"Lucas";0.39,"Roberto";0.63,"Carla";0.78,"Pedro";0.93,"Emilly"},2,TRUE)</f>
        <v>Roberto</v>
      </c>
      <c r="H544">
        <v>1</v>
      </c>
      <c r="I544">
        <v>6200</v>
      </c>
      <c r="J544">
        <v>0.4</v>
      </c>
      <c r="K544">
        <f>PRODUCT(TabelaVendas1__2[[#This Row],[Valor_UnitarioXQtd]],TabelaVendas1__2[[#This Row],[Percentual_Lucro]])</f>
        <v>2480</v>
      </c>
      <c r="L544">
        <v>6200</v>
      </c>
      <c r="M544">
        <f>PRODUCT(TabelaVendas1__2[[#This Row],[Quantidade]],TabelaVendas1__2[[#This Row],[Valor_Unitario]])</f>
        <v>6200</v>
      </c>
      <c r="N544">
        <f>SUM(TabelaVendas1__2[[#This Row],[Valor_UnitarioXQtd]],TabelaVendas1__2[[#This Row],[Valor_Lucro]])</f>
        <v>8680</v>
      </c>
      <c r="O544" s="2" t="s">
        <v>25</v>
      </c>
    </row>
    <row r="545" spans="1:15">
      <c r="A545" t="s">
        <v>312</v>
      </c>
      <c r="B545" t="s">
        <v>22</v>
      </c>
      <c r="C545" t="s">
        <v>23</v>
      </c>
      <c r="D545" t="s">
        <v>97</v>
      </c>
      <c r="E545" s="1">
        <v>46170</v>
      </c>
      <c r="F545" t="s">
        <v>19</v>
      </c>
      <c r="G545" t="str">
        <f ca="1">VLOOKUP(RAND(),{0,"Lucas";0.39,"Roberto";0.63,"Carla";0.78,"Pedro";0.93,"Emilly"},2,TRUE)</f>
        <v>Lucas</v>
      </c>
      <c r="H545">
        <v>1</v>
      </c>
      <c r="I545">
        <v>1040</v>
      </c>
      <c r="J545">
        <v>0.4</v>
      </c>
      <c r="K545">
        <f>PRODUCT(TabelaVendas1__2[[#This Row],[Valor_UnitarioXQtd]],TabelaVendas1__2[[#This Row],[Percentual_Lucro]])</f>
        <v>416</v>
      </c>
      <c r="L545">
        <v>1040</v>
      </c>
      <c r="M545">
        <f>PRODUCT(TabelaVendas1__2[[#This Row],[Quantidade]],TabelaVendas1__2[[#This Row],[Valor_Unitario]])</f>
        <v>1040</v>
      </c>
      <c r="N545">
        <f>SUM(TabelaVendas1__2[[#This Row],[Valor_UnitarioXQtd]],TabelaVendas1__2[[#This Row],[Valor_Lucro]])</f>
        <v>1456</v>
      </c>
      <c r="O545" s="2" t="s">
        <v>98</v>
      </c>
    </row>
    <row r="546" spans="1:15">
      <c r="A546" t="s">
        <v>313</v>
      </c>
      <c r="B546" t="s">
        <v>22</v>
      </c>
      <c r="C546" t="s">
        <v>23</v>
      </c>
      <c r="D546" t="s">
        <v>42</v>
      </c>
      <c r="E546" s="1">
        <v>46198</v>
      </c>
      <c r="F546" t="s">
        <v>30</v>
      </c>
      <c r="G546" t="str">
        <f ca="1">VLOOKUP(RAND(),{0,"Lucas";0.39,"Roberto";0.63,"Carla";0.78,"Pedro";0.93,"Emilly"},2,TRUE)</f>
        <v>Lucas</v>
      </c>
      <c r="H546">
        <v>1</v>
      </c>
      <c r="I546">
        <v>520</v>
      </c>
      <c r="J546">
        <v>0.4</v>
      </c>
      <c r="K546">
        <f>PRODUCT(TabelaVendas1__2[[#This Row],[Valor_UnitarioXQtd]],TabelaVendas1__2[[#This Row],[Percentual_Lucro]])</f>
        <v>208</v>
      </c>
      <c r="L546">
        <v>520</v>
      </c>
      <c r="M546">
        <f>PRODUCT(TabelaVendas1__2[[#This Row],[Quantidade]],TabelaVendas1__2[[#This Row],[Valor_Unitario]])</f>
        <v>520</v>
      </c>
      <c r="N546">
        <f>SUM(TabelaVendas1__2[[#This Row],[Valor_UnitarioXQtd]],TabelaVendas1__2[[#This Row],[Valor_Lucro]])</f>
        <v>728</v>
      </c>
      <c r="O546" s="2" t="s">
        <v>43</v>
      </c>
    </row>
    <row r="547" spans="1:15">
      <c r="A547" t="s">
        <v>314</v>
      </c>
      <c r="B547" t="s">
        <v>16</v>
      </c>
      <c r="C547" t="s">
        <v>17</v>
      </c>
      <c r="D547" t="s">
        <v>42</v>
      </c>
      <c r="E547" s="1">
        <v>46198</v>
      </c>
      <c r="F547" t="s">
        <v>27</v>
      </c>
      <c r="G547" t="str">
        <f ca="1">VLOOKUP(RAND(),{0,"Lucas";0.39,"Roberto";0.63,"Carla";0.78,"Pedro";0.93,"Emilly"},2,TRUE)</f>
        <v>Lucas</v>
      </c>
      <c r="H547">
        <v>1</v>
      </c>
      <c r="I547">
        <v>600</v>
      </c>
      <c r="J547">
        <v>0.4</v>
      </c>
      <c r="K547">
        <f>PRODUCT(TabelaVendas1__2[[#This Row],[Valor_UnitarioXQtd]],TabelaVendas1__2[[#This Row],[Percentual_Lucro]])</f>
        <v>240</v>
      </c>
      <c r="L547">
        <v>600</v>
      </c>
      <c r="M547">
        <f>PRODUCT(TabelaVendas1__2[[#This Row],[Quantidade]],TabelaVendas1__2[[#This Row],[Valor_Unitario]])</f>
        <v>600</v>
      </c>
      <c r="N547">
        <f>SUM(TabelaVendas1__2[[#This Row],[Valor_UnitarioXQtd]],TabelaVendas1__2[[#This Row],[Valor_Lucro]])</f>
        <v>840</v>
      </c>
      <c r="O547" s="2" t="s">
        <v>43</v>
      </c>
    </row>
    <row r="548" spans="1:15">
      <c r="A548" t="s">
        <v>282</v>
      </c>
      <c r="B548" t="s">
        <v>51</v>
      </c>
      <c r="C548" t="s">
        <v>17</v>
      </c>
      <c r="D548" t="s">
        <v>42</v>
      </c>
      <c r="E548" s="1">
        <v>46198</v>
      </c>
      <c r="F548" t="s">
        <v>19</v>
      </c>
      <c r="G548" t="str">
        <f ca="1">VLOOKUP(RAND(),{0,"Lucas";0.39,"Roberto";0.63,"Carla";0.78,"Pedro";0.93,"Emilly"},2,TRUE)</f>
        <v>Pedro</v>
      </c>
      <c r="H548">
        <v>1</v>
      </c>
      <c r="I548">
        <v>1950</v>
      </c>
      <c r="J548">
        <v>0.4</v>
      </c>
      <c r="K548">
        <f>PRODUCT(TabelaVendas1__2[[#This Row],[Valor_UnitarioXQtd]],TabelaVendas1__2[[#This Row],[Percentual_Lucro]])</f>
        <v>780</v>
      </c>
      <c r="L548">
        <v>1950</v>
      </c>
      <c r="M548">
        <f>PRODUCT(TabelaVendas1__2[[#This Row],[Quantidade]],TabelaVendas1__2[[#This Row],[Valor_Unitario]])</f>
        <v>1950</v>
      </c>
      <c r="N548">
        <f>SUM(TabelaVendas1__2[[#This Row],[Valor_UnitarioXQtd]],TabelaVendas1__2[[#This Row],[Valor_Lucro]])</f>
        <v>2730</v>
      </c>
      <c r="O548" s="2" t="s">
        <v>43</v>
      </c>
    </row>
    <row r="549" spans="1:15">
      <c r="A549" t="s">
        <v>315</v>
      </c>
      <c r="B549" t="s">
        <v>22</v>
      </c>
      <c r="C549" t="s">
        <v>23</v>
      </c>
      <c r="D549" t="s">
        <v>42</v>
      </c>
      <c r="E549" s="1">
        <v>46198</v>
      </c>
      <c r="F549" t="s">
        <v>19</v>
      </c>
      <c r="G549" t="str">
        <f ca="1">VLOOKUP(RAND(),{0,"Lucas";0.39,"Roberto";0.63,"Carla";0.78,"Pedro";0.93,"Emilly"},2,TRUE)</f>
        <v>Pedro</v>
      </c>
      <c r="H549">
        <v>1</v>
      </c>
      <c r="I549">
        <v>1950</v>
      </c>
      <c r="J549">
        <v>0.4</v>
      </c>
      <c r="K549">
        <f>PRODUCT(TabelaVendas1__2[[#This Row],[Valor_UnitarioXQtd]],TabelaVendas1__2[[#This Row],[Percentual_Lucro]])</f>
        <v>780</v>
      </c>
      <c r="L549">
        <v>1950</v>
      </c>
      <c r="M549">
        <f>PRODUCT(TabelaVendas1__2[[#This Row],[Quantidade]],TabelaVendas1__2[[#This Row],[Valor_Unitario]])</f>
        <v>1950</v>
      </c>
      <c r="N549">
        <f>SUM(TabelaVendas1__2[[#This Row],[Valor_UnitarioXQtd]],TabelaVendas1__2[[#This Row],[Valor_Lucro]])</f>
        <v>2730</v>
      </c>
      <c r="O549" s="2" t="s">
        <v>43</v>
      </c>
    </row>
    <row r="550" spans="1:15">
      <c r="A550" t="s">
        <v>287</v>
      </c>
      <c r="B550" t="s">
        <v>22</v>
      </c>
      <c r="C550" t="s">
        <v>23</v>
      </c>
      <c r="D550" t="s">
        <v>24</v>
      </c>
      <c r="E550" s="1">
        <v>46198</v>
      </c>
      <c r="F550" t="s">
        <v>19</v>
      </c>
      <c r="G550" t="str">
        <f ca="1">VLOOKUP(RAND(),{0,"Lucas";0.39,"Roberto";0.63,"Carla";0.78,"Pedro";0.93,"Emilly"},2,TRUE)</f>
        <v>Pedro</v>
      </c>
      <c r="H550">
        <v>1</v>
      </c>
      <c r="I550">
        <v>5300</v>
      </c>
      <c r="J550">
        <v>0.4</v>
      </c>
      <c r="K550">
        <f>PRODUCT(TabelaVendas1__2[[#This Row],[Valor_UnitarioXQtd]],TabelaVendas1__2[[#This Row],[Percentual_Lucro]])</f>
        <v>2120</v>
      </c>
      <c r="L550">
        <v>5300</v>
      </c>
      <c r="M550">
        <f>PRODUCT(TabelaVendas1__2[[#This Row],[Quantidade]],TabelaVendas1__2[[#This Row],[Valor_Unitario]])</f>
        <v>5300</v>
      </c>
      <c r="N550">
        <f>SUM(TabelaVendas1__2[[#This Row],[Valor_UnitarioXQtd]],TabelaVendas1__2[[#This Row],[Valor_Lucro]])</f>
        <v>7420</v>
      </c>
      <c r="O550" s="2" t="s">
        <v>25</v>
      </c>
    </row>
    <row r="551" spans="1:15">
      <c r="A551" t="s">
        <v>316</v>
      </c>
      <c r="B551" t="s">
        <v>16</v>
      </c>
      <c r="C551" t="s">
        <v>17</v>
      </c>
      <c r="D551" t="s">
        <v>18</v>
      </c>
      <c r="E551" s="1">
        <v>46198</v>
      </c>
      <c r="F551" t="s">
        <v>27</v>
      </c>
      <c r="G551" t="str">
        <f ca="1">VLOOKUP(RAND(),{0,"Lucas";0.39,"Roberto";0.63,"Carla";0.78,"Pedro";0.93,"Emilly"},2,TRUE)</f>
        <v>Roberto</v>
      </c>
      <c r="H551">
        <v>1</v>
      </c>
      <c r="I551">
        <v>750</v>
      </c>
      <c r="J551">
        <v>0.4</v>
      </c>
      <c r="K551">
        <f>PRODUCT(TabelaVendas1__2[[#This Row],[Valor_UnitarioXQtd]],TabelaVendas1__2[[#This Row],[Percentual_Lucro]])</f>
        <v>300</v>
      </c>
      <c r="L551">
        <v>750</v>
      </c>
      <c r="M551">
        <f>PRODUCT(TabelaVendas1__2[[#This Row],[Quantidade]],TabelaVendas1__2[[#This Row],[Valor_Unitario]])</f>
        <v>750</v>
      </c>
      <c r="N551">
        <f>SUM(TabelaVendas1__2[[#This Row],[Valor_UnitarioXQtd]],TabelaVendas1__2[[#This Row],[Valor_Lucro]])</f>
        <v>1050</v>
      </c>
      <c r="O551" s="2" t="s">
        <v>20</v>
      </c>
    </row>
    <row r="552" spans="1:15">
      <c r="A552" t="s">
        <v>317</v>
      </c>
      <c r="B552" t="s">
        <v>51</v>
      </c>
      <c r="C552" t="s">
        <v>17</v>
      </c>
      <c r="D552" t="s">
        <v>18</v>
      </c>
      <c r="E552" s="1">
        <v>46198</v>
      </c>
      <c r="F552" t="s">
        <v>27</v>
      </c>
      <c r="G552" t="str">
        <f ca="1">VLOOKUP(RAND(),{0,"Lucas";0.39,"Roberto";0.63,"Carla";0.78,"Pedro";0.93,"Emilly"},2,TRUE)</f>
        <v>Roberto</v>
      </c>
      <c r="H552">
        <v>1</v>
      </c>
      <c r="I552">
        <v>4100</v>
      </c>
      <c r="J552">
        <v>0.4</v>
      </c>
      <c r="K552">
        <f>PRODUCT(TabelaVendas1__2[[#This Row],[Valor_UnitarioXQtd]],TabelaVendas1__2[[#This Row],[Percentual_Lucro]])</f>
        <v>1640</v>
      </c>
      <c r="L552">
        <v>4100</v>
      </c>
      <c r="M552">
        <f>PRODUCT(TabelaVendas1__2[[#This Row],[Quantidade]],TabelaVendas1__2[[#This Row],[Valor_Unitario]])</f>
        <v>4100</v>
      </c>
      <c r="N552">
        <f>SUM(TabelaVendas1__2[[#This Row],[Valor_UnitarioXQtd]],TabelaVendas1__2[[#This Row],[Valor_Lucro]])</f>
        <v>5740</v>
      </c>
      <c r="O552" s="2" t="s">
        <v>20</v>
      </c>
    </row>
    <row r="553" spans="1:15">
      <c r="A553" t="s">
        <v>113</v>
      </c>
      <c r="B553" t="s">
        <v>22</v>
      </c>
      <c r="C553" t="s">
        <v>23</v>
      </c>
      <c r="D553" t="s">
        <v>18</v>
      </c>
      <c r="E553" s="1">
        <v>46198</v>
      </c>
      <c r="F553" t="s">
        <v>30</v>
      </c>
      <c r="G553" t="str">
        <f ca="1">VLOOKUP(RAND(),{0,"Lucas";0.39,"Roberto";0.63,"Carla";0.78,"Pedro";0.93,"Emilly"},2,TRUE)</f>
        <v>Pedro</v>
      </c>
      <c r="H553">
        <v>1</v>
      </c>
      <c r="I553">
        <v>850</v>
      </c>
      <c r="J553">
        <v>0.4</v>
      </c>
      <c r="K553">
        <f>PRODUCT(TabelaVendas1__2[[#This Row],[Valor_UnitarioXQtd]],TabelaVendas1__2[[#This Row],[Percentual_Lucro]])</f>
        <v>340</v>
      </c>
      <c r="L553">
        <v>850</v>
      </c>
      <c r="M553">
        <f>PRODUCT(TabelaVendas1__2[[#This Row],[Quantidade]],TabelaVendas1__2[[#This Row],[Valor_Unitario]])</f>
        <v>850</v>
      </c>
      <c r="N553">
        <f>SUM(TabelaVendas1__2[[#This Row],[Valor_UnitarioXQtd]],TabelaVendas1__2[[#This Row],[Valor_Lucro]])</f>
        <v>1190</v>
      </c>
      <c r="O553" s="2" t="s">
        <v>20</v>
      </c>
    </row>
    <row r="554" spans="1:15">
      <c r="A554" t="s">
        <v>158</v>
      </c>
      <c r="B554" t="s">
        <v>22</v>
      </c>
      <c r="C554" t="s">
        <v>23</v>
      </c>
      <c r="D554" t="s">
        <v>18</v>
      </c>
      <c r="E554" s="1">
        <v>46198</v>
      </c>
      <c r="F554" t="s">
        <v>27</v>
      </c>
      <c r="G554" t="str">
        <f ca="1">VLOOKUP(RAND(),{0,"Lucas";0.39,"Roberto";0.63,"Carla";0.78,"Pedro";0.93,"Emilly"},2,TRUE)</f>
        <v>Roberto</v>
      </c>
      <c r="H554">
        <v>1</v>
      </c>
      <c r="I554">
        <v>500</v>
      </c>
      <c r="J554">
        <v>0.4</v>
      </c>
      <c r="K554">
        <f>PRODUCT(TabelaVendas1__2[[#This Row],[Valor_UnitarioXQtd]],TabelaVendas1__2[[#This Row],[Percentual_Lucro]])</f>
        <v>200</v>
      </c>
      <c r="L554">
        <v>500</v>
      </c>
      <c r="M554">
        <f>PRODUCT(TabelaVendas1__2[[#This Row],[Quantidade]],TabelaVendas1__2[[#This Row],[Valor_Unitario]])</f>
        <v>500</v>
      </c>
      <c r="N554">
        <f>SUM(TabelaVendas1__2[[#This Row],[Valor_UnitarioXQtd]],TabelaVendas1__2[[#This Row],[Valor_Lucro]])</f>
        <v>700</v>
      </c>
      <c r="O554" s="2" t="s">
        <v>20</v>
      </c>
    </row>
    <row r="555" spans="1:15">
      <c r="A555" t="s">
        <v>318</v>
      </c>
      <c r="B555" t="s">
        <v>16</v>
      </c>
      <c r="C555" t="s">
        <v>17</v>
      </c>
      <c r="D555" t="s">
        <v>34</v>
      </c>
      <c r="E555" s="1">
        <v>46198</v>
      </c>
      <c r="F555" t="s">
        <v>30</v>
      </c>
      <c r="G555" t="str">
        <f ca="1">VLOOKUP(RAND(),{0,"Lucas";0.39,"Roberto";0.63,"Carla";0.78,"Pedro";0.93,"Emilly"},2,TRUE)</f>
        <v>Roberto</v>
      </c>
      <c r="H555">
        <v>1</v>
      </c>
      <c r="I555">
        <v>4600</v>
      </c>
      <c r="J555">
        <v>0.4</v>
      </c>
      <c r="K555">
        <f>PRODUCT(TabelaVendas1__2[[#This Row],[Valor_UnitarioXQtd]],TabelaVendas1__2[[#This Row],[Percentual_Lucro]])</f>
        <v>1840</v>
      </c>
      <c r="L555">
        <v>4600</v>
      </c>
      <c r="M555">
        <f>PRODUCT(TabelaVendas1__2[[#This Row],[Quantidade]],TabelaVendas1__2[[#This Row],[Valor_Unitario]])</f>
        <v>4600</v>
      </c>
      <c r="N555">
        <f>SUM(TabelaVendas1__2[[#This Row],[Valor_UnitarioXQtd]],TabelaVendas1__2[[#This Row],[Valor_Lucro]])</f>
        <v>6440</v>
      </c>
      <c r="O555" s="2" t="s">
        <v>35</v>
      </c>
    </row>
    <row r="556" spans="1:15">
      <c r="A556" t="s">
        <v>319</v>
      </c>
      <c r="B556" t="s">
        <v>16</v>
      </c>
      <c r="C556" t="s">
        <v>17</v>
      </c>
      <c r="D556" t="s">
        <v>121</v>
      </c>
      <c r="E556" s="1">
        <v>46231</v>
      </c>
      <c r="F556" t="s">
        <v>19</v>
      </c>
      <c r="G556" t="str">
        <f ca="1">VLOOKUP(RAND(),{0,"Lucas";0.39,"Roberto";0.63,"Carla";0.78,"Pedro";0.93,"Emilly"},2,TRUE)</f>
        <v>Carla</v>
      </c>
      <c r="H556">
        <v>1</v>
      </c>
      <c r="I556">
        <v>415</v>
      </c>
      <c r="J556">
        <v>0.4</v>
      </c>
      <c r="K556">
        <f>PRODUCT(TabelaVendas1__2[[#This Row],[Valor_UnitarioXQtd]],TabelaVendas1__2[[#This Row],[Percentual_Lucro]])</f>
        <v>166</v>
      </c>
      <c r="L556">
        <v>415</v>
      </c>
      <c r="M556">
        <f>PRODUCT(TabelaVendas1__2[[#This Row],[Quantidade]],TabelaVendas1__2[[#This Row],[Valor_Unitario]])</f>
        <v>415</v>
      </c>
      <c r="N556">
        <f>SUM(TabelaVendas1__2[[#This Row],[Valor_UnitarioXQtd]],TabelaVendas1__2[[#This Row],[Valor_Lucro]])</f>
        <v>581</v>
      </c>
      <c r="O556" s="2" t="s">
        <v>122</v>
      </c>
    </row>
    <row r="557" spans="1:15">
      <c r="A557" t="s">
        <v>120</v>
      </c>
      <c r="B557" t="s">
        <v>22</v>
      </c>
      <c r="C557" t="s">
        <v>23</v>
      </c>
      <c r="D557" t="s">
        <v>121</v>
      </c>
      <c r="E557" s="1">
        <v>46231</v>
      </c>
      <c r="F557" t="s">
        <v>30</v>
      </c>
      <c r="G557" t="str">
        <f ca="1">VLOOKUP(RAND(),{0,"Lucas";0.39,"Roberto";0.63,"Carla";0.78,"Pedro";0.93,"Emilly"},2,TRUE)</f>
        <v>Roberto</v>
      </c>
      <c r="H557">
        <v>1</v>
      </c>
      <c r="I557">
        <v>515</v>
      </c>
      <c r="J557">
        <v>0.4</v>
      </c>
      <c r="K557">
        <f>PRODUCT(TabelaVendas1__2[[#This Row],[Valor_UnitarioXQtd]],TabelaVendas1__2[[#This Row],[Percentual_Lucro]])</f>
        <v>206</v>
      </c>
      <c r="L557">
        <v>515</v>
      </c>
      <c r="M557">
        <f>PRODUCT(TabelaVendas1__2[[#This Row],[Quantidade]],TabelaVendas1__2[[#This Row],[Valor_Unitario]])</f>
        <v>515</v>
      </c>
      <c r="N557">
        <f>SUM(TabelaVendas1__2[[#This Row],[Valor_UnitarioXQtd]],TabelaVendas1__2[[#This Row],[Valor_Lucro]])</f>
        <v>721</v>
      </c>
      <c r="O557" s="2" t="s">
        <v>122</v>
      </c>
    </row>
    <row r="558" spans="1:15">
      <c r="A558" t="s">
        <v>320</v>
      </c>
      <c r="B558" t="s">
        <v>51</v>
      </c>
      <c r="C558" t="s">
        <v>17</v>
      </c>
      <c r="D558" t="s">
        <v>18</v>
      </c>
      <c r="E558" s="1">
        <v>46231</v>
      </c>
      <c r="F558" t="s">
        <v>30</v>
      </c>
      <c r="G558" t="str">
        <f ca="1">VLOOKUP(RAND(),{0,"Lucas";0.39,"Roberto";0.63,"Carla";0.78,"Pedro";0.93,"Emilly"},2,TRUE)</f>
        <v>Lucas</v>
      </c>
      <c r="H558">
        <v>1</v>
      </c>
      <c r="I558">
        <v>810</v>
      </c>
      <c r="J558">
        <v>0.4</v>
      </c>
      <c r="K558">
        <f>PRODUCT(TabelaVendas1__2[[#This Row],[Valor_UnitarioXQtd]],TabelaVendas1__2[[#This Row],[Percentual_Lucro]])</f>
        <v>324</v>
      </c>
      <c r="L558">
        <v>810</v>
      </c>
      <c r="M558">
        <f>PRODUCT(TabelaVendas1__2[[#This Row],[Quantidade]],TabelaVendas1__2[[#This Row],[Valor_Unitario]])</f>
        <v>810</v>
      </c>
      <c r="N558">
        <f>SUM(TabelaVendas1__2[[#This Row],[Valor_UnitarioXQtd]],TabelaVendas1__2[[#This Row],[Valor_Lucro]])</f>
        <v>1134</v>
      </c>
      <c r="O558" s="2" t="s">
        <v>20</v>
      </c>
    </row>
    <row r="559" spans="1:15">
      <c r="A559" t="s">
        <v>321</v>
      </c>
      <c r="B559" t="s">
        <v>16</v>
      </c>
      <c r="C559" t="s">
        <v>17</v>
      </c>
      <c r="D559" t="s">
        <v>18</v>
      </c>
      <c r="E559" s="1">
        <v>46231</v>
      </c>
      <c r="F559" t="s">
        <v>27</v>
      </c>
      <c r="G559" t="str">
        <f ca="1">VLOOKUP(RAND(),{0,"Lucas";0.39,"Roberto";0.63,"Carla";0.78,"Pedro";0.93,"Emilly"},2,TRUE)</f>
        <v>Lucas</v>
      </c>
      <c r="H559">
        <v>1</v>
      </c>
      <c r="I559">
        <v>820</v>
      </c>
      <c r="J559">
        <v>0.4</v>
      </c>
      <c r="K559">
        <f>PRODUCT(TabelaVendas1__2[[#This Row],[Valor_UnitarioXQtd]],TabelaVendas1__2[[#This Row],[Percentual_Lucro]])</f>
        <v>328</v>
      </c>
      <c r="L559">
        <v>820</v>
      </c>
      <c r="M559">
        <f>PRODUCT(TabelaVendas1__2[[#This Row],[Quantidade]],TabelaVendas1__2[[#This Row],[Valor_Unitario]])</f>
        <v>820</v>
      </c>
      <c r="N559">
        <f>SUM(TabelaVendas1__2[[#This Row],[Valor_UnitarioXQtd]],TabelaVendas1__2[[#This Row],[Valor_Lucro]])</f>
        <v>1148</v>
      </c>
      <c r="O559" s="2" t="s">
        <v>20</v>
      </c>
    </row>
    <row r="560" spans="1:15">
      <c r="A560" t="s">
        <v>91</v>
      </c>
      <c r="B560" t="s">
        <v>22</v>
      </c>
      <c r="C560" t="s">
        <v>23</v>
      </c>
      <c r="D560" t="s">
        <v>18</v>
      </c>
      <c r="E560" s="1">
        <v>46231</v>
      </c>
      <c r="F560" t="s">
        <v>30</v>
      </c>
      <c r="G560" t="str">
        <f ca="1">VLOOKUP(RAND(),{0,"Lucas";0.39,"Roberto";0.63,"Carla";0.78,"Pedro";0.93,"Emilly"},2,TRUE)</f>
        <v>Lucas</v>
      </c>
      <c r="H560">
        <v>1</v>
      </c>
      <c r="I560">
        <v>2035</v>
      </c>
      <c r="J560">
        <v>0.4</v>
      </c>
      <c r="K560">
        <f>PRODUCT(TabelaVendas1__2[[#This Row],[Valor_UnitarioXQtd]],TabelaVendas1__2[[#This Row],[Percentual_Lucro]])</f>
        <v>814</v>
      </c>
      <c r="L560">
        <v>2035</v>
      </c>
      <c r="M560">
        <f>PRODUCT(TabelaVendas1__2[[#This Row],[Quantidade]],TabelaVendas1__2[[#This Row],[Valor_Unitario]])</f>
        <v>2035</v>
      </c>
      <c r="N560">
        <f>SUM(TabelaVendas1__2[[#This Row],[Valor_UnitarioXQtd]],TabelaVendas1__2[[#This Row],[Valor_Lucro]])</f>
        <v>2849</v>
      </c>
      <c r="O560" s="2" t="s">
        <v>20</v>
      </c>
    </row>
    <row r="561" spans="1:15">
      <c r="A561" t="s">
        <v>139</v>
      </c>
      <c r="B561" t="s">
        <v>22</v>
      </c>
      <c r="C561" t="s">
        <v>23</v>
      </c>
      <c r="D561" t="s">
        <v>18</v>
      </c>
      <c r="E561" s="1">
        <v>46231</v>
      </c>
      <c r="F561" t="s">
        <v>19</v>
      </c>
      <c r="G561" t="str">
        <f ca="1">VLOOKUP(RAND(),{0,"Lucas";0.39,"Roberto";0.63,"Carla";0.78,"Pedro";0.93,"Emilly"},2,TRUE)</f>
        <v>Roberto</v>
      </c>
      <c r="H561">
        <v>2</v>
      </c>
      <c r="I561">
        <v>1250</v>
      </c>
      <c r="J561">
        <v>0.4</v>
      </c>
      <c r="K561">
        <f>PRODUCT(TabelaVendas1__2[[#This Row],[Valor_UnitarioXQtd]],TabelaVendas1__2[[#This Row],[Percentual_Lucro]])</f>
        <v>1000</v>
      </c>
      <c r="L561">
        <v>2500</v>
      </c>
      <c r="M561">
        <f>PRODUCT(TabelaVendas1__2[[#This Row],[Quantidade]],TabelaVendas1__2[[#This Row],[Valor_Unitario]])</f>
        <v>2500</v>
      </c>
      <c r="N561">
        <f>SUM(TabelaVendas1__2[[#This Row],[Valor_UnitarioXQtd]],TabelaVendas1__2[[#This Row],[Valor_Lucro]])</f>
        <v>3500</v>
      </c>
      <c r="O561" s="2" t="s">
        <v>20</v>
      </c>
    </row>
    <row r="562" spans="1:15">
      <c r="A562" t="s">
        <v>322</v>
      </c>
      <c r="B562" t="s">
        <v>22</v>
      </c>
      <c r="C562" t="s">
        <v>23</v>
      </c>
      <c r="D562" t="s">
        <v>54</v>
      </c>
      <c r="E562" s="1">
        <v>46231</v>
      </c>
      <c r="F562" t="s">
        <v>27</v>
      </c>
      <c r="G562" t="str">
        <f ca="1">VLOOKUP(RAND(),{0,"Lucas";0.39,"Roberto";0.63,"Carla";0.78,"Pedro";0.93,"Emilly"},2,TRUE)</f>
        <v>Lucas</v>
      </c>
      <c r="H562">
        <v>1</v>
      </c>
      <c r="I562">
        <v>2050</v>
      </c>
      <c r="J562">
        <v>0.4</v>
      </c>
      <c r="K562">
        <f>PRODUCT(TabelaVendas1__2[[#This Row],[Valor_UnitarioXQtd]],TabelaVendas1__2[[#This Row],[Percentual_Lucro]])</f>
        <v>820</v>
      </c>
      <c r="L562">
        <v>2050</v>
      </c>
      <c r="M562">
        <f>PRODUCT(TabelaVendas1__2[[#This Row],[Quantidade]],TabelaVendas1__2[[#This Row],[Valor_Unitario]])</f>
        <v>2050</v>
      </c>
      <c r="N562">
        <f>SUM(TabelaVendas1__2[[#This Row],[Valor_UnitarioXQtd]],TabelaVendas1__2[[#This Row],[Valor_Lucro]])</f>
        <v>2870</v>
      </c>
      <c r="O562" s="2" t="s">
        <v>55</v>
      </c>
    </row>
    <row r="563" spans="1:15">
      <c r="A563" t="s">
        <v>323</v>
      </c>
      <c r="B563" t="s">
        <v>16</v>
      </c>
      <c r="C563" t="s">
        <v>17</v>
      </c>
      <c r="D563" t="s">
        <v>29</v>
      </c>
      <c r="E563" s="1">
        <v>46231</v>
      </c>
      <c r="F563" t="s">
        <v>27</v>
      </c>
      <c r="G563" t="str">
        <f ca="1">VLOOKUP(RAND(),{0,"Lucas";0.39,"Roberto";0.63,"Carla";0.78,"Pedro";0.93,"Emilly"},2,TRUE)</f>
        <v>Carla</v>
      </c>
      <c r="H563">
        <v>1</v>
      </c>
      <c r="I563">
        <v>410</v>
      </c>
      <c r="J563">
        <v>0.4</v>
      </c>
      <c r="K563">
        <f>PRODUCT(TabelaVendas1__2[[#This Row],[Valor_UnitarioXQtd]],TabelaVendas1__2[[#This Row],[Percentual_Lucro]])</f>
        <v>164</v>
      </c>
      <c r="L563">
        <v>410</v>
      </c>
      <c r="M563">
        <f>PRODUCT(TabelaVendas1__2[[#This Row],[Quantidade]],TabelaVendas1__2[[#This Row],[Valor_Unitario]])</f>
        <v>410</v>
      </c>
      <c r="N563">
        <f>SUM(TabelaVendas1__2[[#This Row],[Valor_UnitarioXQtd]],TabelaVendas1__2[[#This Row],[Valor_Lucro]])</f>
        <v>574</v>
      </c>
      <c r="O563" s="2" t="s">
        <v>31</v>
      </c>
    </row>
    <row r="564" spans="1:15">
      <c r="A564" t="s">
        <v>324</v>
      </c>
      <c r="B564" t="s">
        <v>22</v>
      </c>
      <c r="C564" t="s">
        <v>23</v>
      </c>
      <c r="D564" t="s">
        <v>29</v>
      </c>
      <c r="E564" s="1">
        <v>46231</v>
      </c>
      <c r="F564" t="s">
        <v>19</v>
      </c>
      <c r="G564" t="str">
        <f ca="1">VLOOKUP(RAND(),{0,"Lucas";0.39,"Roberto";0.63,"Carla";0.78,"Pedro";0.93,"Emilly"},2,TRUE)</f>
        <v>Lucas</v>
      </c>
      <c r="H564">
        <v>1</v>
      </c>
      <c r="I564">
        <v>3100</v>
      </c>
      <c r="J564">
        <v>0.4</v>
      </c>
      <c r="K564">
        <f>PRODUCT(TabelaVendas1__2[[#This Row],[Valor_UnitarioXQtd]],TabelaVendas1__2[[#This Row],[Percentual_Lucro]])</f>
        <v>1240</v>
      </c>
      <c r="L564">
        <v>3100</v>
      </c>
      <c r="M564">
        <f>PRODUCT(TabelaVendas1__2[[#This Row],[Quantidade]],TabelaVendas1__2[[#This Row],[Valor_Unitario]])</f>
        <v>3100</v>
      </c>
      <c r="N564">
        <f>SUM(TabelaVendas1__2[[#This Row],[Valor_UnitarioXQtd]],TabelaVendas1__2[[#This Row],[Valor_Lucro]])</f>
        <v>4340</v>
      </c>
      <c r="O564" s="2" t="s">
        <v>31</v>
      </c>
    </row>
    <row r="565" spans="1:15">
      <c r="A565" t="s">
        <v>325</v>
      </c>
      <c r="B565" t="s">
        <v>22</v>
      </c>
      <c r="C565" t="s">
        <v>23</v>
      </c>
      <c r="D565" t="s">
        <v>34</v>
      </c>
      <c r="E565" s="1">
        <v>46231</v>
      </c>
      <c r="F565" t="s">
        <v>27</v>
      </c>
      <c r="G565" t="str">
        <f ca="1">VLOOKUP(RAND(),{0,"Lucas";0.39,"Roberto";0.63,"Carla";0.78,"Pedro";0.93,"Emilly"},2,TRUE)</f>
        <v>Carla</v>
      </c>
      <c r="H565">
        <v>1</v>
      </c>
      <c r="I565">
        <v>510</v>
      </c>
      <c r="J565">
        <v>0.4</v>
      </c>
      <c r="K565">
        <f>PRODUCT(TabelaVendas1__2[[#This Row],[Valor_UnitarioXQtd]],TabelaVendas1__2[[#This Row],[Percentual_Lucro]])</f>
        <v>204</v>
      </c>
      <c r="L565">
        <v>510</v>
      </c>
      <c r="M565">
        <f>PRODUCT(TabelaVendas1__2[[#This Row],[Quantidade]],TabelaVendas1__2[[#This Row],[Valor_Unitario]])</f>
        <v>510</v>
      </c>
      <c r="N565">
        <f>SUM(TabelaVendas1__2[[#This Row],[Valor_UnitarioXQtd]],TabelaVendas1__2[[#This Row],[Valor_Lucro]])</f>
        <v>714</v>
      </c>
      <c r="O565" s="2" t="s">
        <v>35</v>
      </c>
    </row>
    <row r="566" spans="1:15">
      <c r="A566" t="s">
        <v>326</v>
      </c>
      <c r="B566" t="s">
        <v>22</v>
      </c>
      <c r="C566" t="s">
        <v>23</v>
      </c>
      <c r="D566" t="s">
        <v>34</v>
      </c>
      <c r="E566" s="1">
        <v>46231</v>
      </c>
      <c r="F566" t="s">
        <v>30</v>
      </c>
      <c r="G566" t="str">
        <f ca="1">VLOOKUP(RAND(),{0,"Lucas";0.39,"Roberto";0.63,"Carla";0.78,"Pedro";0.93,"Emilly"},2,TRUE)</f>
        <v>Roberto</v>
      </c>
      <c r="H566">
        <v>1</v>
      </c>
      <c r="I566">
        <v>2420</v>
      </c>
      <c r="J566">
        <v>0.4</v>
      </c>
      <c r="K566">
        <f>PRODUCT(TabelaVendas1__2[[#This Row],[Valor_UnitarioXQtd]],TabelaVendas1__2[[#This Row],[Percentual_Lucro]])</f>
        <v>968</v>
      </c>
      <c r="L566">
        <v>2420</v>
      </c>
      <c r="M566">
        <f>PRODUCT(TabelaVendas1__2[[#This Row],[Quantidade]],TabelaVendas1__2[[#This Row],[Valor_Unitario]])</f>
        <v>2420</v>
      </c>
      <c r="N566">
        <f>SUM(TabelaVendas1__2[[#This Row],[Valor_UnitarioXQtd]],TabelaVendas1__2[[#This Row],[Valor_Lucro]])</f>
        <v>3388</v>
      </c>
      <c r="O566" s="2" t="s">
        <v>35</v>
      </c>
    </row>
    <row r="567" spans="1:15">
      <c r="A567" t="s">
        <v>96</v>
      </c>
      <c r="B567" t="s">
        <v>51</v>
      </c>
      <c r="C567" t="s">
        <v>17</v>
      </c>
      <c r="D567" t="s">
        <v>97</v>
      </c>
      <c r="E567" s="1">
        <v>46259</v>
      </c>
      <c r="F567" t="s">
        <v>30</v>
      </c>
      <c r="G567" t="str">
        <f ca="1">VLOOKUP(RAND(),{0,"Lucas";0.39,"Roberto";0.63,"Carla";0.78,"Pedro";0.93,"Emilly"},2,TRUE)</f>
        <v>Lucas</v>
      </c>
      <c r="H567">
        <v>1</v>
      </c>
      <c r="I567">
        <v>1000</v>
      </c>
      <c r="J567">
        <v>0.4</v>
      </c>
      <c r="K567">
        <f>PRODUCT(TabelaVendas1__2[[#This Row],[Valor_UnitarioXQtd]],TabelaVendas1__2[[#This Row],[Percentual_Lucro]])</f>
        <v>400</v>
      </c>
      <c r="L567">
        <v>1000</v>
      </c>
      <c r="M567">
        <f>PRODUCT(TabelaVendas1__2[[#This Row],[Quantidade]],TabelaVendas1__2[[#This Row],[Valor_Unitario]])</f>
        <v>1000</v>
      </c>
      <c r="N567">
        <f>SUM(TabelaVendas1__2[[#This Row],[Valor_UnitarioXQtd]],TabelaVendas1__2[[#This Row],[Valor_Lucro]])</f>
        <v>1400</v>
      </c>
      <c r="O567" s="2" t="s">
        <v>98</v>
      </c>
    </row>
    <row r="568" spans="1:15">
      <c r="A568" t="s">
        <v>222</v>
      </c>
      <c r="B568" t="s">
        <v>22</v>
      </c>
      <c r="C568" t="s">
        <v>23</v>
      </c>
      <c r="D568" t="s">
        <v>18</v>
      </c>
      <c r="E568" s="1">
        <v>46259</v>
      </c>
      <c r="F568" t="s">
        <v>27</v>
      </c>
      <c r="G568" t="str">
        <f ca="1">VLOOKUP(RAND(),{0,"Lucas";0.39,"Roberto";0.63,"Carla";0.78,"Pedro";0.93,"Emilly"},2,TRUE)</f>
        <v>Lucas</v>
      </c>
      <c r="H568">
        <v>1</v>
      </c>
      <c r="I568">
        <v>2230</v>
      </c>
      <c r="J568">
        <v>0.4</v>
      </c>
      <c r="K568">
        <f>PRODUCT(TabelaVendas1__2[[#This Row],[Valor_UnitarioXQtd]],TabelaVendas1__2[[#This Row],[Percentual_Lucro]])</f>
        <v>892</v>
      </c>
      <c r="L568">
        <v>2230</v>
      </c>
      <c r="M568">
        <f>PRODUCT(TabelaVendas1__2[[#This Row],[Quantidade]],TabelaVendas1__2[[#This Row],[Valor_Unitario]])</f>
        <v>2230</v>
      </c>
      <c r="N568">
        <f>SUM(TabelaVendas1__2[[#This Row],[Valor_UnitarioXQtd]],TabelaVendas1__2[[#This Row],[Valor_Lucro]])</f>
        <v>3122</v>
      </c>
      <c r="O568" s="2" t="s">
        <v>20</v>
      </c>
    </row>
    <row r="569" spans="1:15">
      <c r="A569" t="s">
        <v>305</v>
      </c>
      <c r="B569" t="s">
        <v>22</v>
      </c>
      <c r="C569" t="s">
        <v>23</v>
      </c>
      <c r="D569" t="s">
        <v>54</v>
      </c>
      <c r="E569" s="1">
        <v>46259</v>
      </c>
      <c r="F569" t="s">
        <v>27</v>
      </c>
      <c r="G569" t="str">
        <f ca="1">VLOOKUP(RAND(),{0,"Lucas";0.39,"Roberto";0.63,"Carla";0.78,"Pedro";0.93,"Emilly"},2,TRUE)</f>
        <v>Pedro</v>
      </c>
      <c r="H569">
        <v>1</v>
      </c>
      <c r="I569">
        <v>13200</v>
      </c>
      <c r="J569">
        <v>0.4</v>
      </c>
      <c r="K569">
        <f>PRODUCT(TabelaVendas1__2[[#This Row],[Valor_UnitarioXQtd]],TabelaVendas1__2[[#This Row],[Percentual_Lucro]])</f>
        <v>5280</v>
      </c>
      <c r="L569">
        <v>13200</v>
      </c>
      <c r="M569">
        <f>PRODUCT(TabelaVendas1__2[[#This Row],[Quantidade]],TabelaVendas1__2[[#This Row],[Valor_Unitario]])</f>
        <v>13200</v>
      </c>
      <c r="N569">
        <f>SUM(TabelaVendas1__2[[#This Row],[Valor_UnitarioXQtd]],TabelaVendas1__2[[#This Row],[Valor_Lucro]])</f>
        <v>18480</v>
      </c>
      <c r="O569" s="2" t="s">
        <v>55</v>
      </c>
    </row>
    <row r="570" spans="1:15">
      <c r="A570" t="s">
        <v>327</v>
      </c>
      <c r="B570" t="s">
        <v>22</v>
      </c>
      <c r="C570" t="s">
        <v>23</v>
      </c>
      <c r="D570" t="s">
        <v>54</v>
      </c>
      <c r="E570" s="1">
        <v>46259</v>
      </c>
      <c r="F570" t="s">
        <v>19</v>
      </c>
      <c r="G570" t="str">
        <f ca="1">VLOOKUP(RAND(),{0,"Lucas";0.39,"Roberto";0.63,"Carla";0.78,"Pedro";0.93,"Emilly"},2,TRUE)</f>
        <v>Carla</v>
      </c>
      <c r="H570">
        <v>1</v>
      </c>
      <c r="I570">
        <v>2220</v>
      </c>
      <c r="J570">
        <v>0.4</v>
      </c>
      <c r="K570">
        <f>PRODUCT(TabelaVendas1__2[[#This Row],[Valor_UnitarioXQtd]],TabelaVendas1__2[[#This Row],[Percentual_Lucro]])</f>
        <v>888</v>
      </c>
      <c r="L570">
        <v>2220</v>
      </c>
      <c r="M570">
        <f>PRODUCT(TabelaVendas1__2[[#This Row],[Quantidade]],TabelaVendas1__2[[#This Row],[Valor_Unitario]])</f>
        <v>2220</v>
      </c>
      <c r="N570">
        <f>SUM(TabelaVendas1__2[[#This Row],[Valor_UnitarioXQtd]],TabelaVendas1__2[[#This Row],[Valor_Lucro]])</f>
        <v>3108</v>
      </c>
      <c r="O570" s="2" t="s">
        <v>55</v>
      </c>
    </row>
    <row r="571" spans="1:15">
      <c r="A571" t="s">
        <v>328</v>
      </c>
      <c r="B571" t="s">
        <v>22</v>
      </c>
      <c r="C571" t="s">
        <v>33</v>
      </c>
      <c r="D571" t="s">
        <v>34</v>
      </c>
      <c r="E571" s="1">
        <v>46274</v>
      </c>
      <c r="F571" t="s">
        <v>30</v>
      </c>
      <c r="G571" t="str">
        <f ca="1">VLOOKUP(RAND(),{0,"Lucas";0.39,"Roberto";0.63,"Carla";0.78,"Pedro";0.93,"Emilly"},2,TRUE)</f>
        <v>Lucas</v>
      </c>
      <c r="H571">
        <v>1</v>
      </c>
      <c r="I571">
        <v>7250</v>
      </c>
      <c r="J571">
        <v>0.4</v>
      </c>
      <c r="K571">
        <f>PRODUCT(TabelaVendas1__2[[#This Row],[Valor_UnitarioXQtd]],TabelaVendas1__2[[#This Row],[Percentual_Lucro]])</f>
        <v>2900</v>
      </c>
      <c r="L571">
        <v>7250</v>
      </c>
      <c r="M571">
        <f>PRODUCT(TabelaVendas1__2[[#This Row],[Quantidade]],TabelaVendas1__2[[#This Row],[Valor_Unitario]])</f>
        <v>7250</v>
      </c>
      <c r="N571">
        <f>SUM(TabelaVendas1__2[[#This Row],[Valor_UnitarioXQtd]],TabelaVendas1__2[[#This Row],[Valor_Lucro]])</f>
        <v>10150</v>
      </c>
      <c r="O571" s="2" t="s">
        <v>35</v>
      </c>
    </row>
    <row r="572" spans="1:15">
      <c r="A572" t="s">
        <v>329</v>
      </c>
      <c r="B572" t="s">
        <v>330</v>
      </c>
      <c r="C572" t="s">
        <v>331</v>
      </c>
      <c r="D572" t="s">
        <v>18</v>
      </c>
      <c r="E572" s="1">
        <v>46256</v>
      </c>
      <c r="F572" t="s">
        <v>30</v>
      </c>
      <c r="G572" t="str">
        <f ca="1">VLOOKUP(RAND(),{0,"Lucas";0.39,"Roberto";0.63,"Carla";0.78,"Pedro";0.93,"Emilly"},2,TRUE)</f>
        <v>Pedro</v>
      </c>
      <c r="H572">
        <v>1</v>
      </c>
      <c r="I572">
        <v>2500</v>
      </c>
      <c r="J572">
        <v>0.4</v>
      </c>
      <c r="K572">
        <f>PRODUCT(TabelaVendas1__2[[#This Row],[Valor_UnitarioXQtd]],TabelaVendas1__2[[#This Row],[Percentual_Lucro]])</f>
        <v>1000</v>
      </c>
      <c r="M572">
        <f>PRODUCT(TabelaVendas1__2[[#This Row],[Quantidade]],TabelaVendas1__2[[#This Row],[Valor_Unitario]])</f>
        <v>2500</v>
      </c>
      <c r="N572">
        <f>SUM(TabelaVendas1__2[[#This Row],[Valor_UnitarioXQtd]],TabelaVendas1__2[[#This Row],[Valor_Lucro]])</f>
        <v>3500</v>
      </c>
      <c r="O572" s="2" t="s">
        <v>20</v>
      </c>
    </row>
  </sheetData>
  <hyperlinks>
    <hyperlink ref="O43" r:id="rId1" xr:uid="{683CD7DC-D14D-4C58-B7BA-E434F926F7EF}"/>
    <hyperlink ref="O3" r:id="rId2" xr:uid="{3E65AAEB-4B41-4A1E-AFD3-2D542AA9C5A6}"/>
    <hyperlink ref="O79" r:id="rId3" xr:uid="{890C2DA5-6897-43A9-B603-0F9DEB02826D}"/>
    <hyperlink ref="O7" r:id="rId4" xr:uid="{DD4F3154-1ACE-4BFB-9E63-B92A8482F49B}"/>
    <hyperlink ref="O134" r:id="rId5" xr:uid="{1A308C0F-E6DF-4EC4-AFC2-B478BE221D14}"/>
    <hyperlink ref="O169" r:id="rId6" xr:uid="{E7114CD9-9A1C-4741-B18C-2FEAB7DC00E5}"/>
    <hyperlink ref="O20" r:id="rId7" xr:uid="{7A0BBD7A-A3B0-42BF-BB03-EAAF922C6B51}"/>
    <hyperlink ref="O5" r:id="rId8" xr:uid="{D995F8E3-E486-4E97-8F86-484F4FCB81FE}"/>
    <hyperlink ref="O15" r:id="rId9" xr:uid="{D69E68E2-F764-4254-8B08-84420F06A3DC}"/>
    <hyperlink ref="O2" r:id="rId10" xr:uid="{132F1107-79C4-40BB-9025-B80E4D86BBD8}"/>
    <hyperlink ref="O4" r:id="rId11" xr:uid="{7BF4C6E0-9395-453E-8113-AA4966342A0E}"/>
    <hyperlink ref="O8" r:id="rId12" xr:uid="{8418BBDC-F3ED-42DD-81C1-F4FD6F3313FF}"/>
    <hyperlink ref="O18:O19" r:id="rId13" display="https://i.ibb.co/7xPBffvg/Cord-o.png" xr:uid="{9E83E7A0-9700-47BE-8B60-930ACDE0E42B}"/>
    <hyperlink ref="O22:O23" r:id="rId14" display="https://i.ibb.co/7xPBffvg/Cord-o.png" xr:uid="{B782D742-99CD-4286-84F8-25E481BBE100}"/>
    <hyperlink ref="O29" r:id="rId15" xr:uid="{CF33B627-94FB-4D75-992F-B55D3AA80F5E}"/>
    <hyperlink ref="O32" r:id="rId16" xr:uid="{66073DE0-8A78-4E61-85F8-5D3D07A0B2B8}"/>
    <hyperlink ref="O35" r:id="rId17" xr:uid="{27B3EA43-574F-4397-A7AE-ED979FADCFE6}"/>
    <hyperlink ref="O41" r:id="rId18" xr:uid="{F00D3D9E-245B-4051-81FB-737D7A2207E6}"/>
    <hyperlink ref="O46:O47" r:id="rId19" display="https://i.ibb.co/7xPBffvg/Cord-o.png" xr:uid="{8EA7676E-840E-4449-9B8A-122937699375}"/>
    <hyperlink ref="O50" r:id="rId20" xr:uid="{61ACCE37-F1E9-424E-A6EA-4172578DA7F7}"/>
    <hyperlink ref="O52" r:id="rId21" xr:uid="{B3225907-C8CA-450E-9586-00C892496185}"/>
    <hyperlink ref="O58:O59" r:id="rId22" display="https://i.ibb.co/7xPBffvg/Cord-o.png" xr:uid="{D6585FB3-5BD2-4823-8295-20688A751E63}"/>
    <hyperlink ref="O67" r:id="rId23" xr:uid="{0434ABC3-59B8-4FCE-BDC2-E3EACF0352ED}"/>
    <hyperlink ref="O71:O72" r:id="rId24" display="https://i.ibb.co/7xPBffvg/Cord-o.png" xr:uid="{47DB9D62-7660-42F3-AAC1-92247E96F264}"/>
    <hyperlink ref="O75:O76" r:id="rId25" display="https://i.ibb.co/7xPBffvg/Cord-o.png" xr:uid="{67CC240B-C22E-49AF-99BE-22E757B183F9}"/>
    <hyperlink ref="O87" r:id="rId26" xr:uid="{8A25220F-BE93-4AAA-8CC5-B4F9F0D7E0C7}"/>
    <hyperlink ref="O91" r:id="rId27" xr:uid="{A46BC585-C5D4-4FB9-B991-1063C889CEEB}"/>
    <hyperlink ref="O93" r:id="rId28" xr:uid="{83339036-C4BC-4A64-AD03-B41306AD1AD6}"/>
    <hyperlink ref="O101" r:id="rId29" xr:uid="{453D933C-A0BE-49AE-8EB2-E66948674131}"/>
    <hyperlink ref="O115:O118" r:id="rId30" display="https://i.ibb.co/7xPBffvg/Cord-o.png" xr:uid="{7CA7D6AC-FECE-4C56-96B0-35B373B65B47}"/>
    <hyperlink ref="O126" r:id="rId31" xr:uid="{DEA314D0-45EF-4AF7-B432-F5349F205DF7}"/>
    <hyperlink ref="O132:O133" r:id="rId32" display="https://i.ibb.co/7xPBffvg/Cord-o.png" xr:uid="{D25468CF-8A85-4EE6-BB6A-550E1A55E90C}"/>
    <hyperlink ref="O140" r:id="rId33" xr:uid="{38E2F95B-3324-4267-B0DC-AC97ED2AD71B}"/>
    <hyperlink ref="O145:O146" r:id="rId34" display="https://i.ibb.co/7xPBffvg/Cord-o.png" xr:uid="{97BE051D-58E5-47D4-B6E4-0F9CDB58FCE1}"/>
    <hyperlink ref="O148" r:id="rId35" xr:uid="{5FF3AEF4-E3B6-47C0-9804-58AF80160D26}"/>
    <hyperlink ref="O156:O158" r:id="rId36" display="https://i.ibb.co/7xPBffvg/Cord-o.png" xr:uid="{B3E02AF7-FE30-4E79-A25F-B5C8F1BA1AEE}"/>
    <hyperlink ref="O163:O164" r:id="rId37" display="https://i.ibb.co/7xPBffvg/Cord-o.png" xr:uid="{FE57D490-DC16-4652-BD40-C4B787781CBE}"/>
    <hyperlink ref="O167" r:id="rId38" xr:uid="{D5CDF250-33F6-4435-A1A7-AF8654A93A18}"/>
    <hyperlink ref="O171" r:id="rId39" xr:uid="{02B344F8-9AB9-4F0C-85F7-F7A9333598BB}"/>
    <hyperlink ref="O188:O189" r:id="rId40" display="https://i.ibb.co/7xPBffvg/Cord-o.png" xr:uid="{460EEE12-B00C-4BA9-A4C9-63C0E7B6B5F0}"/>
    <hyperlink ref="O193:O194" r:id="rId41" display="https://i.ibb.co/7xPBffvg/Cord-o.png" xr:uid="{5027FE2D-9B2D-4B1C-AE9D-7DEDF105CB3E}"/>
    <hyperlink ref="O198" r:id="rId42" xr:uid="{FF047089-AD64-40A3-8746-117213124955}"/>
    <hyperlink ref="O203:O204" r:id="rId43" display="https://i.ibb.co/7xPBffvg/Cord-o.png" xr:uid="{21E2BE03-D11F-4D6A-A6CA-F5A721F53F15}"/>
    <hyperlink ref="O207:O209" r:id="rId44" display="https://i.ibb.co/7xPBffvg/Cord-o.png" xr:uid="{88D0EF19-9678-4F13-BAB4-54CDA6C739EC}"/>
    <hyperlink ref="O211:O212" r:id="rId45" display="https://i.ibb.co/7xPBffvg/Cord-o.png" xr:uid="{881728B5-A712-4E0D-8178-9E57D6502C07}"/>
    <hyperlink ref="O215" r:id="rId46" xr:uid="{DD1B741B-D776-4792-B195-8C2827DAD8EA}"/>
    <hyperlink ref="O219:O221" r:id="rId47" display="https://i.ibb.co/7xPBffvg/Cord-o.png" xr:uid="{393632F4-5D8A-4BD2-9C40-BA771A1195C3}"/>
    <hyperlink ref="O227:O228" r:id="rId48" display="https://i.ibb.co/7xPBffvg/Cord-o.png" xr:uid="{ADF9E146-63B5-4F65-82B4-E26574C896C7}"/>
    <hyperlink ref="O230" r:id="rId49" xr:uid="{30F7A592-D780-4D40-ABB0-2F5A2FEC0B0D}"/>
    <hyperlink ref="O232:O233" r:id="rId50" display="https://i.ibb.co/7xPBffvg/Cord-o.png" xr:uid="{40910574-912A-416F-B88E-2001AA7DA33E}"/>
    <hyperlink ref="O237" r:id="rId51" xr:uid="{036C2F90-E4D6-43D0-8B1F-2DC83E6FEB59}"/>
    <hyperlink ref="O241:O243" r:id="rId52" display="https://i.ibb.co/7xPBffvg/Cord-o.png" xr:uid="{4F4C765F-3FA0-4E53-B9E2-2C05DDA41559}"/>
    <hyperlink ref="O253:O255" r:id="rId53" display="https://i.ibb.co/7xPBffvg/Cord-o.png" xr:uid="{5BDFC98D-449E-4724-99C3-B3293C00E942}"/>
    <hyperlink ref="O267" r:id="rId54" xr:uid="{C78F99B0-1E18-4FEE-99F5-BB02BC3C3A24}"/>
    <hyperlink ref="O271:O272" r:id="rId55" display="https://i.ibb.co/7xPBffvg/Cord-o.png" xr:uid="{B34B4A4A-D370-48C0-9F56-AD26E7AAAE1C}"/>
    <hyperlink ref="O281" r:id="rId56" xr:uid="{24762BF3-B08D-45F7-BA04-9019B3BD3708}"/>
    <hyperlink ref="O284" r:id="rId57" xr:uid="{4F637A5B-E0ED-493F-812A-9469D9D4380B}"/>
    <hyperlink ref="O287" r:id="rId58" xr:uid="{2ECADAB6-9C42-4180-B056-DF8D9C1362D6}"/>
    <hyperlink ref="O294" r:id="rId59" xr:uid="{E7D606FA-61E3-49C6-BDFD-3F7C217298E5}"/>
    <hyperlink ref="O299" r:id="rId60" xr:uid="{DEE17CA7-2A6F-4CEA-8874-AD282CDAA2AA}"/>
    <hyperlink ref="O302:O303" r:id="rId61" display="https://i.ibb.co/7xPBffvg/Cord-o.png" xr:uid="{5F0E7AE9-515B-4419-9CB6-3057E92C1FFC}"/>
    <hyperlink ref="O307:O308" r:id="rId62" display="https://i.ibb.co/7xPBffvg/Cord-o.png" xr:uid="{55A138B4-D9FE-4C7F-AE39-E9AE7F4F1502}"/>
    <hyperlink ref="O312" r:id="rId63" xr:uid="{394012B2-6AF9-4DAB-BB56-E2C987A9D563}"/>
    <hyperlink ref="O321:O323" r:id="rId64" display="https://i.ibb.co/7xPBffvg/Cord-o.png" xr:uid="{CF556A17-96A5-454A-B603-B8CC777D573F}"/>
    <hyperlink ref="O325" r:id="rId65" xr:uid="{34CF0717-6B1C-40D8-AD04-F93361D1AAE2}"/>
    <hyperlink ref="O329:O330" r:id="rId66" display="https://i.ibb.co/7xPBffvg/Cord-o.png" xr:uid="{5F3368FE-78D3-4A51-84A1-3B244CBDD278}"/>
    <hyperlink ref="O337" r:id="rId67" xr:uid="{2D37B73D-20D2-4EB5-A31E-58CD03667195}"/>
    <hyperlink ref="O348" r:id="rId68" xr:uid="{A62F85B5-84C0-441A-B470-3B99F6EEAEA2}"/>
    <hyperlink ref="O353:O355" r:id="rId69" display="https://i.ibb.co/7xPBffvg/Cord-o.png" xr:uid="{806244CD-DFC2-42C9-9D54-C960ACCDC1FE}"/>
    <hyperlink ref="O358" r:id="rId70" xr:uid="{8978BA5D-1651-4317-ABC3-CC9954830340}"/>
    <hyperlink ref="O360:O361" r:id="rId71" display="https://i.ibb.co/7xPBffvg/Cord-o.png" xr:uid="{C259A246-6EBA-4D7B-9490-D4A66CAEBBBB}"/>
    <hyperlink ref="O366" r:id="rId72" xr:uid="{A13581C8-4ED2-485F-9977-99DCA2337B8E}"/>
    <hyperlink ref="O370:O371" r:id="rId73" display="https://i.ibb.co/7xPBffvg/Cord-o.png" xr:uid="{C0654984-D845-4DB3-B8E9-65A11BCEF2B1}"/>
    <hyperlink ref="O375" r:id="rId74" xr:uid="{512C4C59-5562-4DAB-A3AD-7EDC93ABA11A}"/>
    <hyperlink ref="O385" r:id="rId75" xr:uid="{09AB12F9-CC7B-4259-AAB3-542E3CC19A4C}"/>
    <hyperlink ref="O388" r:id="rId76" xr:uid="{90F5F360-6C29-4081-B830-7B7601510F43}"/>
    <hyperlink ref="O392:O394" r:id="rId77" display="https://i.ibb.co/7xPBffvg/Cord-o.png" xr:uid="{A6606F2B-1962-491A-8E6A-63E48B5B23BD}"/>
    <hyperlink ref="O403:O404" r:id="rId78" display="https://i.ibb.co/7xPBffvg/Cord-o.png" xr:uid="{490278E5-F1D7-40FB-B081-56509C3ADD48}"/>
    <hyperlink ref="O409:O410" r:id="rId79" display="https://i.ibb.co/7xPBffvg/Cord-o.png" xr:uid="{ACAFA563-C74A-4C01-A10A-FE06E368DB8E}"/>
    <hyperlink ref="O415:O417" r:id="rId80" display="https://i.ibb.co/7xPBffvg/Cord-o.png" xr:uid="{0E524D28-6E21-4420-A624-11568C3CBF96}"/>
    <hyperlink ref="O420" r:id="rId81" xr:uid="{5C37506E-ED55-4A51-8129-88F2FCEF49E7}"/>
    <hyperlink ref="O422:O425" r:id="rId82" display="https://i.ibb.co/7xPBffvg/Cord-o.png" xr:uid="{10ECB623-CEDF-407E-8835-2EB2186E1962}"/>
    <hyperlink ref="O434:O435" r:id="rId83" display="https://i.ibb.co/7xPBffvg/Cord-o.png" xr:uid="{446C5D9B-731A-439F-8335-451EB8C332A5}"/>
    <hyperlink ref="O439:O440" r:id="rId84" display="https://i.ibb.co/7xPBffvg/Cord-o.png" xr:uid="{BC191A9D-168F-4DE5-8051-FD21A8F22144}"/>
    <hyperlink ref="O449" r:id="rId85" xr:uid="{276BE6F6-C6C4-4307-98AB-E60691FFF9C4}"/>
    <hyperlink ref="O455" r:id="rId86" xr:uid="{AC2A8980-A8FB-4532-BC27-78C75045CE4C}"/>
    <hyperlink ref="O470:O471" r:id="rId87" display="https://i.ibb.co/7xPBffvg/Cord-o.png" xr:uid="{CD3BBA7E-4128-4DA0-980D-C23994F9AD64}"/>
    <hyperlink ref="O487" r:id="rId88" xr:uid="{6DCF70F5-EBC4-4B05-B2C5-B1BBBDC260F4}"/>
    <hyperlink ref="O491" r:id="rId89" xr:uid="{CB75D541-E5B6-4CDC-89CD-D25EB6B8B49B}"/>
    <hyperlink ref="O501" r:id="rId90" xr:uid="{1E5EA2D9-BDD6-43C5-B2F5-C1D87E2F33BB}"/>
    <hyperlink ref="O503" r:id="rId91" xr:uid="{76A4C850-066F-4A81-8CD8-3AB2C74F1111}"/>
    <hyperlink ref="O506:O507" r:id="rId92" display="https://i.ibb.co/7xPBffvg/Cord-o.png" xr:uid="{9CC96929-B421-4BE0-B140-C116BBFA318E}"/>
    <hyperlink ref="O510" r:id="rId93" xr:uid="{36B566C4-E2E8-48C2-9FFA-8082A112ABD2}"/>
    <hyperlink ref="O512:O516" r:id="rId94" display="https://i.ibb.co/7xPBffvg/Cord-o.png" xr:uid="{2A5CD101-037E-48FF-8B0B-91DBB2D30732}"/>
    <hyperlink ref="O520:O522" r:id="rId95" display="https://i.ibb.co/7xPBffvg/Cord-o.png" xr:uid="{9AAB5BBF-6F89-470B-A739-75E1CBE3EE37}"/>
    <hyperlink ref="O525" r:id="rId96" xr:uid="{CAC7385A-F8EB-41F6-A85C-89F2F820064F}"/>
    <hyperlink ref="O529:O530" r:id="rId97" display="https://i.ibb.co/7xPBffvg/Cord-o.png" xr:uid="{CF7CD215-C907-467D-AE27-7D6B098E39F4}"/>
    <hyperlink ref="O534:O536" r:id="rId98" display="https://i.ibb.co/7xPBffvg/Cord-o.png" xr:uid="{BE27EBAD-A506-4810-B67B-F0B4681D8B05}"/>
    <hyperlink ref="O551:O554" r:id="rId99" display="https://i.ibb.co/7xPBffvg/Cord-o.png" xr:uid="{DB436F83-EB50-4A18-A129-DBA83D4DCE73}"/>
    <hyperlink ref="O558:O561" r:id="rId100" display="https://i.ibb.co/7xPBffvg/Cord-o.png" xr:uid="{1431CF9B-4B93-4A7F-990B-2E8A71197AD9}"/>
    <hyperlink ref="O568" r:id="rId101" xr:uid="{7A78AECF-E957-4578-A4AF-03168741B25E}"/>
    <hyperlink ref="O572" r:id="rId102" xr:uid="{CE79572B-A2AD-4A4E-B657-23899313B615}"/>
    <hyperlink ref="O16" r:id="rId103" xr:uid="{4730887F-45AF-444C-8C91-8D39FB16A9E0}"/>
    <hyperlink ref="O26" r:id="rId104" xr:uid="{557E7740-322A-4ABB-85AA-7B7E7D43610D}"/>
    <hyperlink ref="O40" r:id="rId105" xr:uid="{D6497E0B-BB16-4708-803F-8F1E50EDBC0C}"/>
    <hyperlink ref="O95" r:id="rId106" xr:uid="{58D3F6A2-572C-4F9B-9A72-77F9A3F047C7}"/>
    <hyperlink ref="O150" r:id="rId107" xr:uid="{E0482BF5-9949-4F44-A0D5-DEB73D68F52B}"/>
    <hyperlink ref="O176" r:id="rId108" xr:uid="{A3A2C4BC-9775-4926-8D0E-46D1D83095B2}"/>
    <hyperlink ref="O218" r:id="rId109" xr:uid="{17962D5E-32BE-4FA7-AEE7-AEA4EB9D0D17}"/>
    <hyperlink ref="O274" r:id="rId110" xr:uid="{7A939020-1D52-48D1-AA9A-5B51EEDDA4CF}"/>
    <hyperlink ref="O280" r:id="rId111" xr:uid="{C0F2A22E-DA40-4FD1-979D-10B31E73D87B}"/>
    <hyperlink ref="O6" r:id="rId112" xr:uid="{36E039B6-164C-4756-92D1-D8EACCA4B34C}"/>
    <hyperlink ref="O25" r:id="rId113" xr:uid="{1B9759FF-BE61-4A89-9868-AB4F5A888867}"/>
    <hyperlink ref="O34" r:id="rId114" xr:uid="{E33F3546-C376-4A95-A2CC-A4296A16906F}"/>
    <hyperlink ref="O36:O37" r:id="rId115" display="https://i.ibb.co/fV0tzxFK/Pulseira.png" xr:uid="{D07DC827-4E7A-4D73-BFEA-4FE1BE9D5DAC}"/>
    <hyperlink ref="O39" r:id="rId116" xr:uid="{041C5767-74C4-4416-8EF6-5880765F4C60}"/>
    <hyperlink ref="O51" r:id="rId117" xr:uid="{05D051CF-F00D-43B5-93F7-FC778609C38E}"/>
    <hyperlink ref="O55" r:id="rId118" xr:uid="{D75F3C03-EBF2-4DC1-9C29-EBF05D75B545}"/>
    <hyperlink ref="O62:O63" r:id="rId119" display="https://i.ibb.co/fV0tzxFK/Pulseira.png" xr:uid="{8DC1ADBE-4FCA-4F70-AFC5-82175D49D24E}"/>
    <hyperlink ref="O73:O74" r:id="rId120" display="https://i.ibb.co/fV0tzxFK/Pulseira.png" xr:uid="{9E0A977E-E8E5-44F6-AB41-D28FEAC2E122}"/>
    <hyperlink ref="O82" r:id="rId121" xr:uid="{3F959EBC-38EE-4C08-B3C3-708A20650DC7}"/>
    <hyperlink ref="O84" r:id="rId122" xr:uid="{13290467-7B89-4067-BFEA-61DD256461D6}"/>
    <hyperlink ref="O90" r:id="rId123" xr:uid="{9F0585C8-A657-457D-83D0-C81D92E09570}"/>
    <hyperlink ref="O105" r:id="rId124" xr:uid="{BC9A8975-AB5F-4480-A60D-CD5ED2CFB1F4}"/>
    <hyperlink ref="O122" r:id="rId125" xr:uid="{5C6B155C-4250-489F-8A1E-B4D463006C2A}"/>
    <hyperlink ref="O124" r:id="rId126" xr:uid="{2A5E0491-F5A3-4AE3-B548-BE48BF227DD6}"/>
    <hyperlink ref="O136:O138" r:id="rId127" display="https://i.ibb.co/fV0tzxFK/Pulseira.png" xr:uid="{67B46BE0-D538-4A23-B79F-E1F3BD2287D8}"/>
    <hyperlink ref="O142" r:id="rId128" xr:uid="{1D3A7DF7-0836-47AE-BB90-4DBCE953FB55}"/>
    <hyperlink ref="O161" r:id="rId129" xr:uid="{78C161EB-0E05-4B1B-A11C-71B4A5D4D3C0}"/>
    <hyperlink ref="O170" r:id="rId130" xr:uid="{C715E967-FE79-498F-984F-27450CCFEC07}"/>
    <hyperlink ref="O174:O175" r:id="rId131" display="https://i.ibb.co/fV0tzxFK/Pulseira.png" xr:uid="{03DCC4AA-72F8-4A9D-9B05-83BF5A0CDCAB}"/>
    <hyperlink ref="O182" r:id="rId132" xr:uid="{A6EEE369-ED59-4C42-BBE5-7D5B2CFCBC5D}"/>
    <hyperlink ref="O191" r:id="rId133" xr:uid="{1F34356E-7267-4B7D-9542-B5954C5C9F85}"/>
    <hyperlink ref="O197" r:id="rId134" xr:uid="{AE11EE6A-7134-4531-87D0-CAD3F14CFAE7}"/>
    <hyperlink ref="O200" r:id="rId135" xr:uid="{8B236BCC-A547-447C-8BFF-9C69F224DA83}"/>
    <hyperlink ref="O224" r:id="rId136" xr:uid="{408E81CF-DCEC-465F-8B5E-0754D8231C6B}"/>
    <hyperlink ref="O245:O247" r:id="rId137" display="https://i.ibb.co/fV0tzxFK/Pulseira.png" xr:uid="{46DCC5DB-99C2-43BB-A03A-A990DA90A766}"/>
    <hyperlink ref="O252" r:id="rId138" xr:uid="{D7F32290-F8AB-498D-950B-829C95E34B48}"/>
    <hyperlink ref="O268" r:id="rId139" xr:uid="{42571DAA-98FA-4651-B9DB-30F08042AEF4}"/>
    <hyperlink ref="O286" r:id="rId140" xr:uid="{DAF9535C-3DC2-4A6D-A7E4-31D6ACDB7A88}"/>
    <hyperlink ref="O291:O292" r:id="rId141" display="https://i.ibb.co/fV0tzxFK/Pulseira.png" xr:uid="{94975655-7658-41EF-8893-E464DEA12098}"/>
    <hyperlink ref="O296" r:id="rId142" xr:uid="{47724935-C901-4BC1-A482-BB1FAE803888}"/>
    <hyperlink ref="O310" r:id="rId143" xr:uid="{C52D061A-4FCB-4F60-9D01-4AAC8A89F606}"/>
    <hyperlink ref="O313" r:id="rId144" xr:uid="{0A8C8F82-5312-4C30-9F4D-E306D129CC56}"/>
    <hyperlink ref="O319:O320" r:id="rId145" display="https://i.ibb.co/fV0tzxFK/Pulseira.png" xr:uid="{70F1FEF3-077F-48D6-A707-FC23CCEC823F}"/>
    <hyperlink ref="O332:O333" r:id="rId146" display="https://i.ibb.co/fV0tzxFK/Pulseira.png" xr:uid="{801D5D46-B16E-4937-BDC6-790CBDCFA627}"/>
    <hyperlink ref="O362" r:id="rId147" xr:uid="{2F7C042B-FA21-46F9-A0A5-F69EB7FA23F8}"/>
    <hyperlink ref="O364" r:id="rId148" xr:uid="{46897B3F-B9F1-4C8A-ACB5-7F6B04E69FC0}"/>
    <hyperlink ref="O386:O387" r:id="rId149" display="https://i.ibb.co/fV0tzxFK/Pulseira.png" xr:uid="{489E8338-C387-4895-A321-3F257DF44C59}"/>
    <hyperlink ref="O400:O401" r:id="rId150" display="https://i.ibb.co/fV0tzxFK/Pulseira.png" xr:uid="{719B3DF3-285C-4473-984B-22139DE52008}"/>
    <hyperlink ref="O407" r:id="rId151" xr:uid="{127BA456-1C0C-44BD-9F9E-6E40A0D483E4}"/>
    <hyperlink ref="O419" r:id="rId152" xr:uid="{699C89EE-299E-44CA-A541-A3ADF9D0561E}"/>
    <hyperlink ref="O426" r:id="rId153" xr:uid="{36AFCF22-C388-4640-998F-80573077AE22}"/>
    <hyperlink ref="O430:O432" r:id="rId154" display="https://i.ibb.co/fV0tzxFK/Pulseira.png" xr:uid="{331F9F30-B825-4DE6-AC41-55DE964006EF}"/>
    <hyperlink ref="O443" r:id="rId155" xr:uid="{0DF3C536-A373-4BD9-B253-2217EC70DF5B}"/>
    <hyperlink ref="O451:O453" r:id="rId156" display="https://i.ibb.co/fV0tzxFK/Pulseira.png" xr:uid="{DE6DE548-D4EE-4267-AD9F-E2BAFE45D1DD}"/>
    <hyperlink ref="O457" r:id="rId157" xr:uid="{A5005A85-BEE4-41CA-9CA5-F0043DF853A9}"/>
    <hyperlink ref="O475" r:id="rId158" xr:uid="{CB8B337A-E315-448F-9996-3CEB1482DED8}"/>
    <hyperlink ref="O479" r:id="rId159" xr:uid="{B792A541-5F76-4E4D-9D1D-2F36447F398E}"/>
    <hyperlink ref="O490" r:id="rId160" xr:uid="{9E3E6AE8-2BCF-4E29-9991-F6DDC2ACA4F0}"/>
    <hyperlink ref="O496" r:id="rId161" xr:uid="{F5DDD432-11DA-453D-9BC0-EFEF92BC7889}"/>
    <hyperlink ref="O533" r:id="rId162" xr:uid="{4F7C1330-1EA6-4629-B2F8-7AC83E34FB8A}"/>
    <hyperlink ref="O555" r:id="rId163" xr:uid="{3A6BEECB-FC35-4CA3-AF19-436AB013797F}"/>
    <hyperlink ref="O565:O566" r:id="rId164" display="https://i.ibb.co/fV0tzxFK/Pulseira.png" xr:uid="{335A3452-7CB6-4E65-90FD-CE9ADC43765B}"/>
    <hyperlink ref="O571" r:id="rId165" xr:uid="{248261CD-2268-49EF-BC44-5E1923021BE0}"/>
    <hyperlink ref="O238" r:id="rId166" xr:uid="{87524716-12E6-4384-AAFC-4041E9873AC0}"/>
    <hyperlink ref="O266" r:id="rId167" xr:uid="{83E8F3CE-7ED7-4D34-A1C7-F7C9C45FFD7D}"/>
    <hyperlink ref="O278" r:id="rId168" xr:uid="{B13EE59B-5544-4B4A-B74C-37F51995A5BD}"/>
    <hyperlink ref="O289" r:id="rId169" xr:uid="{6FF51DE3-B55B-45AF-B390-59B8BCF5996A}"/>
    <hyperlink ref="O305" r:id="rId170" xr:uid="{A3061C25-E7F3-4354-9175-DA21CACC281F}"/>
    <hyperlink ref="O328" r:id="rId171" xr:uid="{AF96D994-D80E-4CDC-8091-2A1E15515C39}"/>
    <hyperlink ref="O456" r:id="rId172" xr:uid="{320EDEA0-9AAD-453B-B154-AE87288213B3}"/>
    <hyperlink ref="O459" r:id="rId173" xr:uid="{E6126EA9-8722-46C2-B21A-19A588AFC76F}"/>
    <hyperlink ref="O526" r:id="rId174" xr:uid="{F50B566A-C397-4C2C-9908-884BB2104730}"/>
    <hyperlink ref="O168" r:id="rId175" xr:uid="{36047C27-4C37-4453-B0A4-B6A899DB18C1}"/>
    <hyperlink ref="O172" r:id="rId176" xr:uid="{F39B086B-73DF-4CCF-99AF-21AFA19C160A}"/>
    <hyperlink ref="O195" r:id="rId177" xr:uid="{3C081427-1050-493B-B535-2F2CA44738A7}"/>
    <hyperlink ref="O210" r:id="rId178" xr:uid="{62DC6505-01AB-479D-AC5D-B5642DAFD04D}"/>
    <hyperlink ref="O216" r:id="rId179" xr:uid="{9DFA9727-BBBB-416B-A2CD-6C6FC0DC6AC5}"/>
    <hyperlink ref="O222" r:id="rId180" xr:uid="{06A7A596-6537-4060-B47A-5779AC6717CA}"/>
    <hyperlink ref="O234" r:id="rId181" xr:uid="{5CF4808B-53CD-4458-A47A-D441DA98613C}"/>
    <hyperlink ref="O265" r:id="rId182" xr:uid="{8B63407C-E321-4E39-8A50-D17AF0DF621B}"/>
    <hyperlink ref="O273" r:id="rId183" xr:uid="{6B1BABD3-0D86-40EE-8115-282BBA45E06F}"/>
    <hyperlink ref="O288" r:id="rId184" xr:uid="{AC7D3231-DFCB-4F14-AED5-8C776CE7B1B7}"/>
    <hyperlink ref="O295" r:id="rId185" xr:uid="{E42A0B13-5A05-4D13-8856-AD67E1C70B85}"/>
    <hyperlink ref="O317" r:id="rId186" xr:uid="{1150A066-ED49-449E-B0AB-20D4C0207EDD}"/>
    <hyperlink ref="O326" r:id="rId187" xr:uid="{29E7230C-3951-4E29-961C-3BE132C06E2A}"/>
    <hyperlink ref="O338" r:id="rId188" xr:uid="{79F0AC00-73BF-4249-A59C-3FC8C064C2BA}"/>
    <hyperlink ref="O342" r:id="rId189" xr:uid="{06155BF0-FFF8-4B09-ACFD-71C46AA56102}"/>
    <hyperlink ref="O367" r:id="rId190" xr:uid="{5C64D981-C2B8-4344-8CBC-765BAD2B5893}"/>
    <hyperlink ref="O372:O373" r:id="rId191" display="https://i.ibb.co/d44wqwyS/Crucifixo.png" xr:uid="{5B41397D-CB9D-4E08-99CF-7D3DDD451B63}"/>
    <hyperlink ref="O376" r:id="rId192" xr:uid="{DC8B058F-5E21-45CD-ABAB-DECE96241540}"/>
    <hyperlink ref="O405" r:id="rId193" xr:uid="{0B561A17-A490-4777-B8BD-F98CD661F52F}"/>
    <hyperlink ref="O411:O412" r:id="rId194" display="https://i.ibb.co/d44wqwyS/Crucifixo.png" xr:uid="{A9398C95-8059-454B-BFAA-95FB004D3ACB}"/>
    <hyperlink ref="O421" r:id="rId195" xr:uid="{B1D9606C-4AB5-4E39-B927-7331F2F62117}"/>
    <hyperlink ref="O441" r:id="rId196" xr:uid="{9A8409D2-DE9E-4491-AA99-ABDC8162F64B}"/>
    <hyperlink ref="O517" r:id="rId197" xr:uid="{29028A77-11D5-4991-A501-F3654263E3D4}"/>
    <hyperlink ref="O531" r:id="rId198" xr:uid="{4B28D982-B48F-4913-9B6C-6E5D3CC18977}"/>
    <hyperlink ref="O537" r:id="rId199" xr:uid="{37715A11-2C35-4C26-B374-169AFC1C7005}"/>
    <hyperlink ref="O10" r:id="rId200" xr:uid="{9BB02395-A79F-411E-9FBE-A3335D31273F}"/>
    <hyperlink ref="O27:O28" r:id="rId201" display="https://i.ibb.co/cXDYTcVZ/Bracelete.png" xr:uid="{F8BBE7D6-E734-470A-8039-0164AB531E36}"/>
    <hyperlink ref="O31" r:id="rId202" xr:uid="{D50BFC05-BBB4-4DD0-AFBE-7BCE3BEC1990}"/>
    <hyperlink ref="O45" r:id="rId203" xr:uid="{835FDECC-955C-4CA1-B190-9DB69F8AD19C}"/>
    <hyperlink ref="O66" r:id="rId204" xr:uid="{A6FF9C9E-EAA8-47DE-A2FF-CDB663BB700C}"/>
    <hyperlink ref="O107" r:id="rId205" xr:uid="{C73A520D-43F3-4227-9735-B0A282FAC7EE}"/>
    <hyperlink ref="O114" r:id="rId206" xr:uid="{7AE67F81-5CE1-4048-9F05-52533B604AB3}"/>
    <hyperlink ref="O139" r:id="rId207" xr:uid="{E46F2332-0FD7-4AAE-B39E-A3E00C665EAF}"/>
    <hyperlink ref="O144" r:id="rId208" xr:uid="{AD222FF0-AFA4-4482-A6BD-EFD4C9EF0C87}"/>
    <hyperlink ref="O154:O155" r:id="rId209" display="https://i.ibb.co/cXDYTcVZ/Bracelete.png" xr:uid="{B8885BA6-355A-43A5-896B-E87AF369AB09}"/>
    <hyperlink ref="O201" r:id="rId210" xr:uid="{CB5FDF8A-85DD-426F-B8D5-47593289877A}"/>
    <hyperlink ref="O225" r:id="rId211" xr:uid="{C52BAF62-BA43-42DD-ADBF-BD821E3E46CA}"/>
    <hyperlink ref="O261" r:id="rId212" xr:uid="{BA5E63B7-5117-4DAE-BE57-4E823A8214FA}"/>
    <hyperlink ref="O263" r:id="rId213" xr:uid="{5CDD85A1-DA25-464E-A065-104114DB6606}"/>
    <hyperlink ref="O270" r:id="rId214" xr:uid="{DE32EE3E-3831-4022-9B92-C1072E3D246D}"/>
    <hyperlink ref="O300" r:id="rId215" xr:uid="{6D2CB1B5-92B4-46BA-ADEB-6AE46D289FA1}"/>
    <hyperlink ref="O324" r:id="rId216" xr:uid="{08D871A8-3BC6-4E2A-8943-110011E07C1A}"/>
    <hyperlink ref="O334:O336" r:id="rId217" display="https://i.ibb.co/cXDYTcVZ/Bracelete.png" xr:uid="{0B7C1C02-9D97-42CC-B178-9E0310C9325F}"/>
    <hyperlink ref="O341" r:id="rId218" xr:uid="{2DAEF850-1B4D-470D-A91F-4233AAFC75E0}"/>
    <hyperlink ref="O346:O347" r:id="rId219" display="https://i.ibb.co/cXDYTcVZ/Bracelete.png" xr:uid="{693C3C90-3D46-4726-A752-D42ACD2D556C}"/>
    <hyperlink ref="O363" r:id="rId220" xr:uid="{C42B5F44-98B1-47C4-BD6B-2DDE5B4DAF29}"/>
    <hyperlink ref="O365" r:id="rId221" xr:uid="{F6F0F424-B1F1-46FC-9B8A-13E2458E12C8}"/>
    <hyperlink ref="O374" r:id="rId222" xr:uid="{F8670E5B-B576-4D77-B174-D7E96EF1B0DC}"/>
    <hyperlink ref="O402" r:id="rId223" xr:uid="{F3EC2654-9253-4C3F-9C94-FB6CD20EBBBD}"/>
    <hyperlink ref="O429" r:id="rId224" xr:uid="{3C55D4DF-7746-4D3C-A15B-6E86574826A8}"/>
    <hyperlink ref="O433" r:id="rId225" xr:uid="{16FAE33B-5859-4C39-9220-69D2E036E1DA}"/>
    <hyperlink ref="O438" r:id="rId226" xr:uid="{57E2BC0D-7AE7-48A7-B1CC-150CAD67EA04}"/>
    <hyperlink ref="O445:O446" r:id="rId227" display="https://i.ibb.co/cXDYTcVZ/Bracelete.png" xr:uid="{E6705982-2794-4FAD-8956-DF637D0C417C}"/>
    <hyperlink ref="O458" r:id="rId228" xr:uid="{A50071DA-45AF-4606-8A85-32B49678B691}"/>
    <hyperlink ref="O461:O464" r:id="rId229" display="https://i.ibb.co/cXDYTcVZ/Bracelete.png" xr:uid="{CBD1BEB6-919E-43E1-88A5-A8DA74CB84A3}"/>
    <hyperlink ref="O485:O486" r:id="rId230" display="https://i.ibb.co/cXDYTcVZ/Bracelete.png" xr:uid="{A0E80EBB-A011-4248-9C97-91CCDD692365}"/>
    <hyperlink ref="O489" r:id="rId231" xr:uid="{93B20437-1544-4A36-AE75-7609136D5B69}"/>
    <hyperlink ref="O495" r:id="rId232" xr:uid="{30B3CC46-9E25-4F93-BD64-DDBC55A9F6D7}"/>
    <hyperlink ref="O500" r:id="rId233" xr:uid="{44CE93B4-6F77-443B-A5F3-4B9EC730EB1E}"/>
    <hyperlink ref="O502" r:id="rId234" xr:uid="{DC96274C-55E9-4E19-8C48-3F878D36A586}"/>
    <hyperlink ref="O505" r:id="rId235" xr:uid="{63927902-7009-4B0B-AA50-5C1079A7A7B2}"/>
    <hyperlink ref="O544" r:id="rId236" xr:uid="{49270FFE-FD96-48CC-98F3-6E019C49849F}"/>
    <hyperlink ref="O550" r:id="rId237" xr:uid="{4F23BEE6-F848-430D-B9BF-9E3C3A1212C2}"/>
    <hyperlink ref="O11" r:id="rId238" xr:uid="{678B7176-8D1F-4BB0-BA9B-D6C23E42B3D2}"/>
    <hyperlink ref="O12:O14" r:id="rId239" display="https://i.ibb.co/dwxBS6gB/Anel.png" xr:uid="{8BDACEC0-E735-4E94-B14B-4665D1AF9FC1}"/>
    <hyperlink ref="O17" r:id="rId240" xr:uid="{41761F3F-4589-4A33-B7D0-F62255AA60BD}"/>
    <hyperlink ref="O42" r:id="rId241" xr:uid="{90DB1961-16D7-4315-8AE4-D08192005A14}"/>
    <hyperlink ref="O44" r:id="rId242" xr:uid="{FC3EAAE5-AB1C-4CF5-BE20-A190D8BD8CBB}"/>
    <hyperlink ref="O57" r:id="rId243" xr:uid="{25D9C3E8-9A49-4A44-9302-07BD637A38D3}"/>
    <hyperlink ref="O65" r:id="rId244" xr:uid="{0CC93E5D-6216-49D4-A5ED-D83A8050E253}"/>
    <hyperlink ref="O78" r:id="rId245" xr:uid="{82F1F49C-26BE-4BB0-8884-D77F121AC1C4}"/>
    <hyperlink ref="O112:O113" r:id="rId246" display="https://i.ibb.co/dwxBS6gB/Anel.png" xr:uid="{4AC081DF-7D52-4A8F-9E80-8D00AE3A955D}"/>
    <hyperlink ref="O128:O129" r:id="rId247" display="https://i.ibb.co/dwxBS6gB/Anel.png" xr:uid="{EF7E00A9-5256-4B23-8AAA-72A844962B3C}"/>
    <hyperlink ref="O143" r:id="rId248" xr:uid="{BB6E1232-DA0A-48A7-9CCD-505068C41E84}"/>
    <hyperlink ref="O147" r:id="rId249" xr:uid="{3CB7BF19-447D-478A-A197-FA80B1EF8FE1}"/>
    <hyperlink ref="O152" r:id="rId250" xr:uid="{A94DA800-ACBA-4986-AE38-A4C1FEC0E5E3}"/>
    <hyperlink ref="O178:O179" r:id="rId251" display="https://i.ibb.co/dwxBS6gB/Anel.png" xr:uid="{B3463D29-67A8-4CF2-95D5-58C44C92CE9C}"/>
    <hyperlink ref="O183:O185" r:id="rId252" display="https://i.ibb.co/dwxBS6gB/Anel.png" xr:uid="{E301FE1D-8389-49F4-8341-5905904B7984}"/>
    <hyperlink ref="O226" r:id="rId253" xr:uid="{9524CF26-C4AE-4FB8-AD9B-1286E7CBCE31}"/>
    <hyperlink ref="O249:O250" r:id="rId254" display="https://i.ibb.co/dwxBS6gB/Anel.png" xr:uid="{76A82077-93A4-4D10-AE0D-508B75C5CA4D}"/>
    <hyperlink ref="O260" r:id="rId255" xr:uid="{29DE978D-C4C6-457F-91A3-77670D890977}"/>
    <hyperlink ref="O262" r:id="rId256" xr:uid="{259DD319-B216-4519-9DB9-35C04A551A91}"/>
    <hyperlink ref="O264" r:id="rId257" xr:uid="{B9BC6A99-53BE-43DA-ADB4-6182D4F7387B}"/>
    <hyperlink ref="O276" r:id="rId258" xr:uid="{0719255B-60D0-4455-9FE9-FD286C71C879}"/>
    <hyperlink ref="O283" r:id="rId259" xr:uid="{2898A055-1CE2-42EF-A275-39E34A17FFFA}"/>
    <hyperlink ref="O306" r:id="rId260" xr:uid="{AFF40289-A77E-4000-8B07-4384B45BC116}"/>
    <hyperlink ref="O314:O315" r:id="rId261" display="https://i.ibb.co/dwxBS6gB/Anel.png" xr:uid="{EED03C34-C537-42DC-AF0A-BCB53C524264}"/>
    <hyperlink ref="O340" r:id="rId262" xr:uid="{3DFDED82-C0E9-4897-A795-E064E536D6AC}"/>
    <hyperlink ref="O345" r:id="rId263" xr:uid="{BDCCACE3-B211-4C41-9304-4E1130719E43}"/>
    <hyperlink ref="O349:O351" r:id="rId264" display="https://i.ibb.co/dwxBS6gB/Anel.png" xr:uid="{F98C26D6-FD34-464F-B0B3-4618885B5E0D}"/>
    <hyperlink ref="O377:O378" r:id="rId265" display="https://i.ibb.co/dwxBS6gB/Anel.png" xr:uid="{08F28549-4F0D-43E0-9BE7-4767C023BBD1}"/>
    <hyperlink ref="O427:O428" r:id="rId266" display="https://i.ibb.co/dwxBS6gB/Anel.png" xr:uid="{12A6C660-0415-4720-BC8B-BA1751A6C753}"/>
    <hyperlink ref="O437" r:id="rId267" xr:uid="{2D2A10C0-1A38-4032-93B1-FAD62A694082}"/>
    <hyperlink ref="O454" r:id="rId268" xr:uid="{72F97185-68AC-4AC7-9F52-56EAA59A5F69}"/>
    <hyperlink ref="O460" r:id="rId269" xr:uid="{B00444E5-257A-4424-8BC6-896DD61E5161}"/>
    <hyperlink ref="O466:O467" r:id="rId270" display="https://i.ibb.co/dwxBS6gB/Anel.png" xr:uid="{7EC14BB7-6542-4617-8BF2-4C24E993EFD3}"/>
    <hyperlink ref="O480:O484" r:id="rId271" display="https://i.ibb.co/dwxBS6gB/Anel.png" xr:uid="{646C9817-BB35-496F-AB1D-55A8F3675DFA}"/>
    <hyperlink ref="O492" r:id="rId272" xr:uid="{0B8FB03B-D1C8-4B69-8738-0E20A68AE670}"/>
    <hyperlink ref="O497:O499" r:id="rId273" display="https://i.ibb.co/dwxBS6gB/Anel.png" xr:uid="{03D25C75-B04C-4542-8826-E9D2E35B3936}"/>
    <hyperlink ref="O504" r:id="rId274" xr:uid="{042DCDFF-1AD1-4D9A-BD58-2AEAC74289ED}"/>
    <hyperlink ref="O519" r:id="rId275" xr:uid="{286FB41E-6C8D-413A-8819-156555E11118}"/>
    <hyperlink ref="O540:O542" r:id="rId276" display="https://i.ibb.co/dwxBS6gB/Anel.png" xr:uid="{05A5692D-50F4-4DAF-B867-4CBED261FF02}"/>
    <hyperlink ref="O546:O549" r:id="rId277" display="https://i.ibb.co/dwxBS6gB/Anel.png" xr:uid="{E45C070B-B96B-4969-9DBB-1B106C201058}"/>
    <hyperlink ref="O48:O49" r:id="rId278" display="https://i.ibb.co/rKrKDHQv/Alian-a.png" xr:uid="{93190344-ECAB-4E3D-A076-B2AE82ED3AD6}"/>
    <hyperlink ref="O56" r:id="rId279" xr:uid="{9A7D6BF2-9E67-467D-94D8-E21ABF5813AB}"/>
    <hyperlink ref="O70" r:id="rId280" xr:uid="{B60508E8-FB45-4860-999F-19CF2571E5F7}"/>
    <hyperlink ref="O83" r:id="rId281" xr:uid="{7B419A62-E9BD-4374-98DC-FA21751EC42C}"/>
    <hyperlink ref="O88" r:id="rId282" xr:uid="{004CA542-8D01-4805-8E97-9825EFDEABA8}"/>
    <hyperlink ref="O96:O97" r:id="rId283" display="https://i.ibb.co/rKrKDHQv/Alian-a.png" xr:uid="{146D684C-0FC9-41C1-AF6F-D0A822D2A697}"/>
    <hyperlink ref="O106" r:id="rId284" xr:uid="{71A87D78-7729-4C58-A6F7-1709F28CF844}"/>
    <hyperlink ref="O111" r:id="rId285" xr:uid="{051BAD2A-E4A5-4467-9F3E-B3B3F4A6B31A}"/>
    <hyperlink ref="O127" r:id="rId286" xr:uid="{EB3D1F1C-267B-4CFD-8CF8-2A8558A4B1A7}"/>
    <hyperlink ref="O151" r:id="rId287" xr:uid="{6B8C9172-2C7B-49B5-8196-84C0430B25C9}"/>
    <hyperlink ref="O162" r:id="rId288" xr:uid="{1B3C0F6C-2B91-4008-8C66-59C7F6926FE6}"/>
    <hyperlink ref="O173" r:id="rId289" xr:uid="{4330C431-DB75-47C0-9717-543968D40614}"/>
    <hyperlink ref="O177" r:id="rId290" xr:uid="{9EFD0A8A-1902-4C4A-8D8C-7CBE9B3A8364}"/>
    <hyperlink ref="O202" r:id="rId291" xr:uid="{4675AD74-5A4B-4B7A-A852-1593D28B6597}"/>
    <hyperlink ref="O214" r:id="rId292" xr:uid="{FA899BBD-D53F-44F0-B572-EF6E5C80ED8F}"/>
    <hyperlink ref="O236" r:id="rId293" xr:uid="{00E5F739-FF1F-4F37-B26D-35AE080BD3A9}"/>
    <hyperlink ref="O248" r:id="rId294" xr:uid="{76015967-CF8F-4FB6-BD8A-8EB739FFC793}"/>
    <hyperlink ref="O258:O259" r:id="rId295" display="https://i.ibb.co/rKrKDHQv/Alian-a.png" xr:uid="{358E954B-F8C8-4CC9-82C3-52291E6989A7}"/>
    <hyperlink ref="O269" r:id="rId296" xr:uid="{3E4B6F68-7CFA-4B60-8B4E-61715600BA1B}"/>
    <hyperlink ref="O275" r:id="rId297" xr:uid="{035FBFD7-D54B-41DB-BFD0-B91155A64EC4}"/>
    <hyperlink ref="O285" r:id="rId298" xr:uid="{1A272BFE-7686-46CC-97A6-9CF3541A9F98}"/>
    <hyperlink ref="O293" r:id="rId299" xr:uid="{4C871D89-6004-44F6-B426-4F7907BAF95B}"/>
    <hyperlink ref="O297:O298" r:id="rId300" display="https://i.ibb.co/rKrKDHQv/Alian-a.png" xr:uid="{6C13DC99-F20A-4B94-839D-3B6E4AB115FE}"/>
    <hyperlink ref="O301" r:id="rId301" xr:uid="{2995CBD8-35B1-474E-8677-2DE276B3634F}"/>
    <hyperlink ref="O311" r:id="rId302" xr:uid="{B1675F8C-FFA3-48ED-9D12-6ED018915AA5}"/>
    <hyperlink ref="O327" r:id="rId303" xr:uid="{8392171F-1954-49DD-9768-BDAF060B8862}"/>
    <hyperlink ref="O359" r:id="rId304" xr:uid="{94C4CF73-9C34-4B66-A5DA-2E199098435D}"/>
    <hyperlink ref="O391" r:id="rId305" xr:uid="{A961830B-033A-483F-8A2E-DAF4E44D92EC}"/>
    <hyperlink ref="O396:O397" r:id="rId306" display="https://i.ibb.co/rKrKDHQv/Alian-a.png" xr:uid="{188FBD63-3F5D-49EF-BE33-206B5ECC6F0D}"/>
    <hyperlink ref="O465" r:id="rId307" xr:uid="{77AA5426-C21B-4787-B8A6-B919345382CB}"/>
    <hyperlink ref="O528" r:id="rId308" xr:uid="{13131B54-E397-4CCC-BBFB-65007223C862}"/>
    <hyperlink ref="O24" r:id="rId309" xr:uid="{136E27F6-E10E-464E-B2A0-0B995DDB8202}"/>
    <hyperlink ref="O30" r:id="rId310" xr:uid="{BF19BCEF-13A3-46D5-823F-142D118041D4}"/>
    <hyperlink ref="O38" r:id="rId311" xr:uid="{E3F50A1C-2814-4341-A7C1-5466E70A932D}"/>
    <hyperlink ref="O54" r:id="rId312" xr:uid="{3D7C03A3-4592-438E-BFEF-6F7D0FAC1A5D}"/>
    <hyperlink ref="O60" r:id="rId313" xr:uid="{9F7C30C4-961A-4505-8909-F2426A04A710}"/>
    <hyperlink ref="O68" r:id="rId314" xr:uid="{05F2DFFB-530D-4E10-9C0F-68541A6FE29F}"/>
    <hyperlink ref="O77" r:id="rId315" xr:uid="{E51373B3-7882-44D0-8107-22AA290C8C9A}"/>
    <hyperlink ref="O92" r:id="rId316" xr:uid="{A0C392D3-4AD1-442B-BA8C-0B47033E6777}"/>
    <hyperlink ref="O94" r:id="rId317" xr:uid="{9D0E5243-11AD-478B-A034-FE8F77F8B254}"/>
    <hyperlink ref="O102" r:id="rId318" xr:uid="{291FA4D3-A00D-4998-B4A7-4B1C38B85F77}"/>
    <hyperlink ref="O108" r:id="rId319" xr:uid="{BBC9BD1B-C3F3-43A5-A76D-F3F17C7289F4}"/>
    <hyperlink ref="O119" r:id="rId320" xr:uid="{7187B0C6-E176-40BD-A759-F1C391FD580C}"/>
    <hyperlink ref="O141" r:id="rId321" xr:uid="{45DDD53F-AA9F-4710-965F-9E532C66731B}"/>
    <hyperlink ref="O149" r:id="rId322" xr:uid="{1A8010DA-0EA1-40C9-AA2A-C30689CE2FDE}"/>
    <hyperlink ref="O199" r:id="rId323" xr:uid="{DFB3890D-0F42-4536-A26C-7AFF0DA331EA}"/>
    <hyperlink ref="O205" r:id="rId324" xr:uid="{66612268-4F5E-4DBE-8915-3A403AC5ABE4}"/>
    <hyperlink ref="O231" r:id="rId325" xr:uid="{3EC0FB78-9020-4487-B48E-8A333C713039}"/>
    <hyperlink ref="O239" r:id="rId326" xr:uid="{439BBC0A-62AC-4214-B0A7-277C2D10D959}"/>
    <hyperlink ref="O256" r:id="rId327" xr:uid="{01BE5027-8A4D-4707-A318-8ADA284ED506}"/>
    <hyperlink ref="O282" r:id="rId328" xr:uid="{45D83A30-62C2-4F6D-9AF5-A2A12416DDA6}"/>
    <hyperlink ref="O304" r:id="rId329" xr:uid="{0A98B92A-4C72-4BFC-9E75-BF28106F2F39}"/>
    <hyperlink ref="O339" r:id="rId330" xr:uid="{B2983CA2-1335-487B-8409-D1095E02AE78}"/>
    <hyperlink ref="O343:O344" r:id="rId331" display="https://i.ibb.co/sJ5q4DRf/Medalha-de-Letra.png" xr:uid="{7FDA32E3-9C12-47B7-BD8D-B0902813854F}"/>
    <hyperlink ref="O356:O357" r:id="rId332" display="https://i.ibb.co/sJ5q4DRf/Medalha-de-Letra.png" xr:uid="{6521F00F-7690-43AA-A8F5-3FC02103AC79}"/>
    <hyperlink ref="O389:O390" r:id="rId333" display="https://i.ibb.co/sJ5q4DRf/Medalha-de-Letra.png" xr:uid="{55DB6BD1-BE28-4BA5-BE53-F4A27E4EAA25}"/>
    <hyperlink ref="O395" r:id="rId334" xr:uid="{02587A35-7BD8-40F8-B784-65D5EE649A76}"/>
    <hyperlink ref="O406" r:id="rId335" xr:uid="{AC3C05D7-74D8-448E-A838-954F0FA0C8AD}"/>
    <hyperlink ref="O413" r:id="rId336" xr:uid="{3AB56791-ECA9-4E61-A88C-0BD1938C4F8E}"/>
    <hyperlink ref="O418" r:id="rId337" xr:uid="{FDEA0078-20FD-4786-B847-A8B2FEB4B380}"/>
    <hyperlink ref="O488" r:id="rId338" xr:uid="{DA8B3B61-236B-4FB7-A358-C135E0805482}"/>
    <hyperlink ref="O508" r:id="rId339" xr:uid="{9F66C910-9C61-4274-940E-E5872CB13BD7}"/>
    <hyperlink ref="O527" r:id="rId340" xr:uid="{BC20D130-9884-4E50-80B9-7D9B55426DD5}"/>
    <hyperlink ref="O532" r:id="rId341" xr:uid="{347DF595-B140-4CEB-8088-41D4D1AB086C}"/>
    <hyperlink ref="O538:O539" r:id="rId342" display="https://i.ibb.co/sJ5q4DRf/Medalha-de-Letra.png" xr:uid="{4BC90371-4EEF-4CC6-BB46-95B9B747B764}"/>
    <hyperlink ref="O562" r:id="rId343" xr:uid="{9CAA35A6-1C10-4B51-963A-FBA15E191953}"/>
    <hyperlink ref="O569:O570" r:id="rId344" display="https://i.ibb.co/sJ5q4DRf/Medalha-de-Letra.png" xr:uid="{8145E367-CCA8-48DD-A488-586F65A0CBFD}"/>
    <hyperlink ref="O21" r:id="rId345" xr:uid="{8E19A457-4B43-4606-A147-ADA83136FD50}"/>
    <hyperlink ref="O33" r:id="rId346" xr:uid="{57EBF389-ED6F-4685-912E-0A4A42277748}"/>
    <hyperlink ref="O61" r:id="rId347" xr:uid="{C93CEAF4-3039-40F9-8EC9-76A79869D094}"/>
    <hyperlink ref="O81" r:id="rId348" xr:uid="{D7324293-62A4-45A2-81C8-35D665972E83}"/>
    <hyperlink ref="O104" r:id="rId349" xr:uid="{A6C2D1C7-E19F-4EC4-9237-D87407F858F6}"/>
    <hyperlink ref="O109:O110" r:id="rId350" display="https://i.ibb.co/Txp3DYjx/Pingente-de-S-o-Jorge.png" xr:uid="{760A455A-7D9B-40D8-8DB7-56F041D5B5B5}"/>
    <hyperlink ref="O120:O121" r:id="rId351" display="https://i.ibb.co/Txp3DYjx/Pingente-de-S-o-Jorge.png" xr:uid="{C3464D75-1284-43C3-A8FC-3F9AA52CFC8C}"/>
    <hyperlink ref="O135" r:id="rId352" xr:uid="{2ED4DFF9-9FBE-4BA0-A591-BF57F59F7396}"/>
    <hyperlink ref="O159:O160" r:id="rId353" display="https://i.ibb.co/Txp3DYjx/Pingente-de-S-o-Jorge.png" xr:uid="{0FA5D9D7-C168-4130-8C31-E7FC698B2D6C}"/>
    <hyperlink ref="O165:O166" r:id="rId354" display="https://i.ibb.co/Txp3DYjx/Pingente-de-S-o-Jorge.png" xr:uid="{69F53573-7AF4-46FF-B30C-B47761EA8898}"/>
    <hyperlink ref="O190" r:id="rId355" xr:uid="{E863D26E-D369-4C3E-8AD3-B4E0467FC94D}"/>
    <hyperlink ref="O196" r:id="rId356" xr:uid="{D5254E9A-4C46-4587-988E-36EFAEF7F231}"/>
    <hyperlink ref="O206" r:id="rId357" xr:uid="{571AEC98-2A2B-4376-AB1F-D6B8ED3C3F37}"/>
    <hyperlink ref="O213" r:id="rId358" xr:uid="{879B2579-65B2-4E86-B6E9-B35321ECBA8A}"/>
    <hyperlink ref="O217" r:id="rId359" xr:uid="{642558BE-5895-4163-BC25-32BD71E8B746}"/>
    <hyperlink ref="O223" r:id="rId360" xr:uid="{5812D56B-2C98-453C-8979-6D3810EF9245}"/>
    <hyperlink ref="O229" r:id="rId361" xr:uid="{64AC1DBC-595C-404A-8067-0AFC82E3A12A}"/>
    <hyperlink ref="O235" r:id="rId362" xr:uid="{C9C95EF8-43FB-434B-AEAC-ECFD02A74A61}"/>
    <hyperlink ref="O244" r:id="rId363" xr:uid="{9B9A1A27-651A-4E45-946A-393C182979AB}"/>
    <hyperlink ref="O257" r:id="rId364" xr:uid="{909CE247-2059-4475-83C7-5E9EF7C06B62}"/>
    <hyperlink ref="O279" r:id="rId365" xr:uid="{ADDB500C-25D7-4D3A-B203-B208B6B0C0A4}"/>
    <hyperlink ref="O290" r:id="rId366" xr:uid="{CA6A68A6-B1E4-436F-8784-7D1C36D34BDC}"/>
    <hyperlink ref="O309" r:id="rId367" xr:uid="{657A2C7C-6738-42B7-9B5A-142B57D7D674}"/>
    <hyperlink ref="O318" r:id="rId368" xr:uid="{871E32BE-10E2-4ABE-A907-2C401BE297C3}"/>
    <hyperlink ref="O331" r:id="rId369" xr:uid="{123B3299-B8CE-4FA8-9053-45CD7EFFFEB5}"/>
    <hyperlink ref="O398:O399" r:id="rId370" display="https://i.ibb.co/Txp3DYjx/Pingente-de-S-o-Jorge.png" xr:uid="{0CB2C51E-A35D-4700-9776-C9DD3B195D64}"/>
    <hyperlink ref="O414" r:id="rId371" xr:uid="{31E259B6-C4E0-4646-AC3A-85DCDD2EBA39}"/>
    <hyperlink ref="O436" r:id="rId372" xr:uid="{D0EC437D-167A-43B5-B971-501B20A42A22}"/>
    <hyperlink ref="O442" r:id="rId373" xr:uid="{0414E909-B75F-4B48-BACA-0A06B97AD602}"/>
    <hyperlink ref="O444" r:id="rId374" xr:uid="{A6F5A8DD-AD66-43B7-95F9-3ADDAF83F57C}"/>
    <hyperlink ref="O450" r:id="rId375" xr:uid="{3734229C-08A4-4798-8583-0670D408E20C}"/>
    <hyperlink ref="O472:O474" r:id="rId376" display="https://i.ibb.co/Txp3DYjx/Pingente-de-S-o-Jorge.png" xr:uid="{2E0A5756-08E9-4461-89C6-D52FCB5590D7}"/>
    <hyperlink ref="O476:O478" r:id="rId377" display="https://i.ibb.co/Txp3DYjx/Pingente-de-S-o-Jorge.png" xr:uid="{54C97E9D-8EAE-4AFA-8629-4DC349E44B8C}"/>
    <hyperlink ref="O509" r:id="rId378" xr:uid="{E47C6677-452E-4B25-8092-CEB08A18CD32}"/>
    <hyperlink ref="O518" r:id="rId379" xr:uid="{7F553723-FED9-4EF0-ACCF-653ECDF43A45}"/>
    <hyperlink ref="O563:O564" r:id="rId380" display="https://i.ibb.co/Txp3DYjx/Pingente-de-S-o-Jorge.png" xr:uid="{B212B8A1-05A8-4790-AF34-090C2552BDEC}"/>
    <hyperlink ref="O130" r:id="rId381" xr:uid="{B0E17712-F6B4-4908-84AF-39B2A85C0496}"/>
    <hyperlink ref="O153" r:id="rId382" xr:uid="{EC382DA8-A7C0-4E10-A5E6-67D70260C213}"/>
    <hyperlink ref="O180:O181" r:id="rId383" display="https://i.ibb.co/pvy4pQ2x/Argola.png" xr:uid="{44A0A0A9-5678-4962-A6CF-793D24D95800}"/>
    <hyperlink ref="O192" r:id="rId384" xr:uid="{95EC83B6-0C8A-4F36-9A53-FC85CADC48BC}"/>
    <hyperlink ref="O316" r:id="rId385" xr:uid="{44C1EAC8-C2A5-4BFC-A37B-73D6147FE559}"/>
    <hyperlink ref="O352" r:id="rId386" xr:uid="{F63C51EF-CEB4-453D-A1EA-9B5E00F3390B}"/>
    <hyperlink ref="O368:O369" r:id="rId387" display="https://i.ibb.co/pvy4pQ2x/Argola.png" xr:uid="{7D7AC595-8DB1-46EB-B802-30B4321D2AA9}"/>
    <hyperlink ref="O379:O381" r:id="rId388" display="https://i.ibb.co/pvy4pQ2x/Argola.png" xr:uid="{BF672A8F-F5A6-4BA9-B8C9-6CDED620CDFF}"/>
    <hyperlink ref="O447:O448" r:id="rId389" display="https://i.ibb.co/pvy4pQ2x/Argola.png" xr:uid="{72821E23-EB75-4A95-9CC0-C937638CFAFA}"/>
    <hyperlink ref="O468" r:id="rId390" xr:uid="{3A085C60-D0A3-4441-9CC8-A1A056F799A4}"/>
    <hyperlink ref="O493:O494" r:id="rId391" display="https://i.ibb.co/pvy4pQ2x/Argola.png" xr:uid="{ED91D7B1-8E7E-4DB7-BC5F-C027FB68541E}"/>
    <hyperlink ref="O543" r:id="rId392" xr:uid="{CAACA2F8-AA01-4AF2-BF28-EC3E52AC9030}"/>
    <hyperlink ref="O556:O557" r:id="rId393" display="https://i.ibb.co/pvy4pQ2x/Argola.png" xr:uid="{17CB2892-D52A-47F1-B936-A9C47D1D1B41}"/>
    <hyperlink ref="O85" r:id="rId394" xr:uid="{8D341A2A-348C-4047-BA63-2E60CC47C967}"/>
    <hyperlink ref="O98" r:id="rId395" xr:uid="{C622FFBB-4F9D-4D13-A03D-FB2E57CB71F8}"/>
    <hyperlink ref="O125" r:id="rId396" xr:uid="{CCF1BD3E-1518-4D57-AE16-3114E5D6F84A}"/>
    <hyperlink ref="O131" r:id="rId397" xr:uid="{AAE856EC-C090-4F94-969F-C6D3DA6D1C6B}"/>
    <hyperlink ref="O186:O187" r:id="rId398" display="https://i.ibb.co/sdHXRM0k/Brinco-com-Pedras-Azuis-e-Branca.png" xr:uid="{06A5A0D8-D0D1-4451-A7AC-9402067D3EC8}"/>
    <hyperlink ref="O240" r:id="rId399" xr:uid="{A31B0BF3-EF1C-4DF9-A952-C6D877E8B066}"/>
    <hyperlink ref="O251" r:id="rId400" xr:uid="{54CECDF8-CECD-4D43-95E6-6CB792F84739}"/>
    <hyperlink ref="O277" r:id="rId401" xr:uid="{08F62B8A-DCF4-4D8A-9D73-4683841E7745}"/>
    <hyperlink ref="O382:O384" r:id="rId402" display="https://i.ibb.co/sdHXRM0k/Brinco-com-Pedras-Azuis-e-Branca.png" xr:uid="{3BF2FAC5-C7EB-4117-BDFE-A227F3B17654}"/>
    <hyperlink ref="O408" r:id="rId403" xr:uid="{9345273C-AF69-4887-8A87-AC32D054FCD3}"/>
    <hyperlink ref="O469" r:id="rId404" xr:uid="{B814C910-2950-488F-BB6A-026ED0BB2F21}"/>
    <hyperlink ref="O511" r:id="rId405" xr:uid="{CC0AE152-CD13-43FF-93CF-9A3A321B89B6}"/>
    <hyperlink ref="O523:O524" r:id="rId406" display="https://i.ibb.co/sdHXRM0k/Brinco-com-Pedras-Azuis-e-Branca.png" xr:uid="{9E294843-B643-4F1E-9BEE-CCBDD3688212}"/>
    <hyperlink ref="O545" r:id="rId407" xr:uid="{44BBEAB0-3BAF-4A00-A10E-D94200FB4428}"/>
    <hyperlink ref="O567" r:id="rId408" xr:uid="{C2C62BAF-8C13-44C5-B2DC-FCFAC7FE632A}"/>
    <hyperlink ref="O9" r:id="rId409" xr:uid="{AC930A48-122F-4EB0-8D04-D9448362DCA6}"/>
    <hyperlink ref="O53" r:id="rId410" xr:uid="{327E8071-F526-4E5A-8BAD-67E38D81CA14}"/>
    <hyperlink ref="O64" r:id="rId411" xr:uid="{AE949ACE-ED5D-4E93-B9BE-151A68636475}"/>
    <hyperlink ref="O69" r:id="rId412" xr:uid="{03AAD4C1-DB90-41EB-9016-37F01A51CA91}"/>
    <hyperlink ref="O80" r:id="rId413" xr:uid="{B4B999D3-4CE2-4108-9F8A-8999D5A5DE4B}"/>
    <hyperlink ref="O86" r:id="rId414" xr:uid="{A8AD9F00-67E5-4F23-B12F-8DAAD5475DA1}"/>
    <hyperlink ref="O89" r:id="rId415" xr:uid="{16AE602A-D763-45FC-8A4C-0A9E3FFAE6AE}"/>
    <hyperlink ref="O99:O100" r:id="rId416" display="https://i.ibb.co/BKSYnNXM/Colar.png" xr:uid="{40438221-A586-420A-80A5-63F6EB48713D}"/>
    <hyperlink ref="O103" r:id="rId417" xr:uid="{705F431B-2122-433F-98B9-C5B252137D1E}"/>
    <hyperlink ref="O123" r:id="rId418" xr:uid="{EE40FCA7-B7E3-400D-B4E0-046AB52384AF}"/>
  </hyperlinks>
  <pageMargins left="0.511811024" right="0.511811024" top="0.78740157499999996" bottom="0.78740157499999996" header="0.31496062000000002" footer="0.31496062000000002"/>
  <tableParts count="1">
    <tablePart r:id="rId4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E6B70-E810-4EC0-99AD-6D13E399F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Henrique</dc:creator>
  <cp:keywords/>
  <dc:description/>
  <cp:lastModifiedBy/>
  <cp:revision/>
  <dcterms:created xsi:type="dcterms:W3CDTF">2026-09-22T16:42:51Z</dcterms:created>
  <dcterms:modified xsi:type="dcterms:W3CDTF">2026-10-11T21:05:41Z</dcterms:modified>
  <cp:category/>
  <cp:contentStatus/>
</cp:coreProperties>
</file>